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amandalouisenunag/Desktop/NEW THESIS/"/>
    </mc:Choice>
  </mc:AlternateContent>
  <xr:revisionPtr revIDLastSave="0" documentId="13_ncr:1_{AF30C9EE-EC81-9944-B7D1-BE76D4743C3B}" xr6:coauthVersionLast="47" xr6:coauthVersionMax="47" xr10:uidLastSave="{00000000-0000-0000-0000-000000000000}"/>
  <bookViews>
    <workbookView xWindow="1400" yWindow="500" windowWidth="24100" windowHeight="17500" xr2:uid="{002E0F33-FE27-4445-BB24-713F62F6D3E6}"/>
  </bookViews>
  <sheets>
    <sheet name="Home" sheetId="16" r:id="rId1"/>
    <sheet name="Simulator" sheetId="20" r:id="rId2"/>
    <sheet name="Energy Availability" sheetId="2" r:id="rId3"/>
  </sheets>
  <definedNames>
    <definedName name="solver_adj" localSheetId="0" hidden="1">Home!$E$20:$M$20,Home!$O$18:$O$26</definedName>
    <definedName name="solver_adj" localSheetId="1" hidden="1">Simulator!$E$20:$M$20,Simulator!$O$18:$O$26</definedName>
    <definedName name="solver_cvg" localSheetId="0" hidden="1">0.0001</definedName>
    <definedName name="solver_cvg" localSheetId="1" hidden="1">0.0001</definedName>
    <definedName name="solver_drv" localSheetId="0" hidden="1">2</definedName>
    <definedName name="solver_drv" localSheetId="1" hidden="1">1</definedName>
    <definedName name="solver_eng" localSheetId="2" hidden="1">1</definedName>
    <definedName name="solver_eng" localSheetId="0" hidden="1">2</definedName>
    <definedName name="solver_eng" localSheetId="1" hidden="1">2</definedName>
    <definedName name="solver_itr" localSheetId="0" hidden="1">2147483647</definedName>
    <definedName name="solver_itr" localSheetId="1" hidden="1">2147483647</definedName>
    <definedName name="solver_lhs1" localSheetId="1" hidden="1">Simulator!$D$36:$D$44</definedName>
    <definedName name="solver_lhs2" localSheetId="1" hidden="1">Simulator!$E$20:$M$20</definedName>
    <definedName name="solver_lhs3" localSheetId="1" hidden="1">Simulator!$G$24:$G$27</definedName>
    <definedName name="solver_lhs4" localSheetId="1" hidden="1">Simulator!$G$28</definedName>
    <definedName name="solver_lhs5" localSheetId="1" hidden="1">Simulator!$G$29</definedName>
    <definedName name="solver_lhs6" localSheetId="1" hidden="1">Simulator!$G$30:$G$31</definedName>
    <definedName name="solver_lhs7" localSheetId="1" hidden="1">Simulator!$G$32:$G$33</definedName>
    <definedName name="solver_lhs8" localSheetId="1" hidden="1">Simulator!$J$24:$J$33</definedName>
    <definedName name="solver_lin" localSheetId="2" hidden="1">2</definedName>
    <definedName name="solver_lin" localSheetId="0" hidden="1">1</definedName>
    <definedName name="solver_lin" localSheetId="1" hidden="1">1</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2" hidden="1">1</definedName>
    <definedName name="solver_neg" localSheetId="0" hidden="1">1</definedName>
    <definedName name="solver_neg" localSheetId="1" hidden="1">1</definedName>
    <definedName name="solver_nod" localSheetId="0" hidden="1">2147483647</definedName>
    <definedName name="solver_nod" localSheetId="1" hidden="1">2147483647</definedName>
    <definedName name="solver_num" localSheetId="2" hidden="1">0</definedName>
    <definedName name="solver_num" localSheetId="0" hidden="1">1</definedName>
    <definedName name="solver_num" localSheetId="1" hidden="1">8</definedName>
    <definedName name="solver_opt" localSheetId="2" hidden="1">'Energy Availability'!$G$5</definedName>
    <definedName name="solver_opt" localSheetId="0" hidden="1">Home!$O$53</definedName>
    <definedName name="solver_opt" localSheetId="1" hidden="1">Simulator!$O$53</definedName>
    <definedName name="solver_pre" localSheetId="0" hidden="1">0.000001</definedName>
    <definedName name="solver_pre" localSheetId="1" hidden="1">0.000001</definedName>
    <definedName name="solver_rbv" localSheetId="0" hidden="1">2</definedName>
    <definedName name="solver_rbv" localSheetId="1" hidden="1">1</definedName>
    <definedName name="solver_rel1" localSheetId="1" hidden="1">1</definedName>
    <definedName name="solver_rel2" localSheetId="1" hidden="1">5</definedName>
    <definedName name="solver_rel3" localSheetId="1" hidden="1">3</definedName>
    <definedName name="solver_rel4" localSheetId="1" hidden="1">2</definedName>
    <definedName name="solver_rel5" localSheetId="1" hidden="1">3</definedName>
    <definedName name="solver_rel6" localSheetId="1" hidden="1">2</definedName>
    <definedName name="solver_rel7" localSheetId="1" hidden="1">3</definedName>
    <definedName name="solver_rel8" localSheetId="1" hidden="1">1</definedName>
    <definedName name="solver_rhs1" localSheetId="1" hidden="1">Simulator!$E$36:$E$44</definedName>
    <definedName name="solver_rhs2" localSheetId="1" hidden="1">"binary"</definedName>
    <definedName name="solver_rhs3" localSheetId="1" hidden="1">Simulator!$H$24:$H$27</definedName>
    <definedName name="solver_rhs4" localSheetId="1" hidden="1">Simulator!$H$28</definedName>
    <definedName name="solver_rhs5" localSheetId="1" hidden="1">Simulator!$H$29</definedName>
    <definedName name="solver_rhs6" localSheetId="1" hidden="1">Simulator!$H$30:$H$31</definedName>
    <definedName name="solver_rhs7" localSheetId="1" hidden="1">Simulator!$H$32:$H$33</definedName>
    <definedName name="solver_rhs8" localSheetId="1" hidden="1">Simulator!$K$24:$K$33</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2</definedName>
    <definedName name="solver_scl" localSheetId="1" hidden="1">2</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2147483647</definedName>
    <definedName name="solver_tol" localSheetId="0" hidden="1">0.01</definedName>
    <definedName name="solver_tol" localSheetId="1" hidden="1">0.01</definedName>
    <definedName name="solver_typ" localSheetId="2" hidden="1">1</definedName>
    <definedName name="solver_typ" localSheetId="0" hidden="1">1</definedName>
    <definedName name="solver_typ" localSheetId="1" hidden="1">1</definedName>
    <definedName name="solver_val" localSheetId="2" hidden="1">0</definedName>
    <definedName name="solver_val" localSheetId="0" hidden="1">0</definedName>
    <definedName name="solver_val" localSheetId="1" hidden="1">0</definedName>
    <definedName name="solver_ver" localSheetId="2" hidden="1">2</definedName>
    <definedName name="solver_ver" localSheetId="0" hidden="1">2</definedName>
    <definedName name="solver_ver" localSheetId="1" hidden="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78" i="16" l="1"/>
  <c r="S26" i="20"/>
  <c r="S27" i="20" s="1"/>
  <c r="S28" i="20" s="1"/>
  <c r="S29" i="20" s="1"/>
  <c r="S30" i="20" s="1"/>
  <c r="S31" i="20" s="1"/>
  <c r="S32" i="20" s="1"/>
  <c r="S33" i="20" s="1"/>
  <c r="S34" i="20" s="1"/>
  <c r="R11" i="20" l="1"/>
  <c r="R12" i="20"/>
  <c r="R9" i="20"/>
  <c r="R11" i="2"/>
  <c r="R9" i="2"/>
  <c r="E41" i="20"/>
  <c r="E38" i="20"/>
  <c r="E36" i="20"/>
  <c r="D36" i="20"/>
  <c r="E44" i="20" l="1"/>
  <c r="E43" i="20"/>
  <c r="E42" i="20"/>
  <c r="E40" i="20"/>
  <c r="E39" i="20"/>
  <c r="E37" i="20"/>
  <c r="N75" i="16"/>
  <c r="S12" i="20"/>
  <c r="S11" i="20"/>
  <c r="S9" i="20"/>
  <c r="K28" i="20" s="1"/>
  <c r="J37" i="20"/>
  <c r="J36" i="20"/>
  <c r="G25" i="2"/>
  <c r="F25" i="2"/>
  <c r="E25" i="2"/>
  <c r="D25" i="2"/>
  <c r="H11" i="2"/>
  <c r="K18" i="20"/>
  <c r="J68" i="16"/>
  <c r="L27" i="2" l="1"/>
  <c r="R8" i="20" s="1"/>
  <c r="D31" i="2"/>
  <c r="F31" i="2"/>
  <c r="K27" i="2" s="1"/>
  <c r="E31" i="2"/>
  <c r="J27" i="2" s="1"/>
  <c r="G45" i="16"/>
  <c r="G68" i="16"/>
  <c r="R6" i="20" l="1"/>
  <c r="R5" i="20"/>
  <c r="I27" i="2"/>
  <c r="R7" i="20" s="1"/>
  <c r="N60" i="16"/>
  <c r="N56" i="16"/>
  <c r="K58" i="16"/>
  <c r="E58" i="16"/>
  <c r="Q49" i="16"/>
  <c r="K40" i="16"/>
  <c r="E45" i="16"/>
  <c r="H68" i="16"/>
  <c r="N68" i="16"/>
  <c r="M68" i="16"/>
  <c r="P68" i="16"/>
  <c r="Q58" i="16"/>
  <c r="P58" i="16"/>
  <c r="H58" i="16"/>
  <c r="G58" i="16"/>
  <c r="N45" i="16"/>
  <c r="M45" i="16"/>
  <c r="J45" i="16"/>
  <c r="H45" i="16"/>
  <c r="G11" i="2" l="1"/>
  <c r="G4" i="2"/>
  <c r="B11" i="2"/>
  <c r="C11" i="2" s="1"/>
  <c r="B4" i="2"/>
  <c r="C4" i="2" s="1"/>
  <c r="J44" i="20"/>
  <c r="D44" i="20"/>
  <c r="J43" i="20"/>
  <c r="D43" i="20"/>
  <c r="J42" i="20"/>
  <c r="D42" i="20"/>
  <c r="J41" i="20"/>
  <c r="D41" i="20"/>
  <c r="J40" i="20"/>
  <c r="D40" i="20"/>
  <c r="J39" i="20"/>
  <c r="D39" i="20"/>
  <c r="J38" i="20"/>
  <c r="D38" i="20"/>
  <c r="D37" i="20"/>
  <c r="O35" i="20"/>
  <c r="H33" i="20"/>
  <c r="K32" i="20"/>
  <c r="H32" i="20"/>
  <c r="K29" i="20"/>
  <c r="H29" i="20"/>
  <c r="K27" i="20"/>
  <c r="K26" i="20"/>
  <c r="K25" i="20"/>
  <c r="K24" i="20"/>
  <c r="G18" i="20"/>
  <c r="O36" i="20" s="1"/>
  <c r="O5" i="20" a="1"/>
  <c r="O54" i="20" s="1"/>
  <c r="M56" i="16" l="1"/>
  <c r="D58" i="16"/>
  <c r="O47" i="20"/>
  <c r="M60" i="16"/>
  <c r="H31" i="20"/>
  <c r="K31" i="20"/>
  <c r="H28" i="20"/>
  <c r="H30" i="20"/>
  <c r="K30" i="20"/>
  <c r="O37" i="20"/>
  <c r="O38" i="20" s="1"/>
  <c r="J26" i="20"/>
  <c r="O46" i="20"/>
  <c r="O42" i="20"/>
  <c r="O43" i="20"/>
  <c r="O44" i="20"/>
  <c r="O50" i="20"/>
  <c r="J25" i="20"/>
  <c r="J32" i="20"/>
  <c r="P49" i="16"/>
  <c r="L75" i="16"/>
  <c r="J40" i="16"/>
  <c r="D68" i="16"/>
  <c r="J58" i="16"/>
  <c r="K73" i="16"/>
  <c r="E28" i="20"/>
  <c r="E29" i="20"/>
  <c r="G28" i="20"/>
  <c r="J33" i="20"/>
  <c r="G27" i="20"/>
  <c r="J27" i="20"/>
  <c r="G29" i="20"/>
  <c r="E30" i="20"/>
  <c r="O48" i="20"/>
  <c r="O45" i="20"/>
  <c r="O5" i="20"/>
  <c r="D45" i="16" s="1"/>
  <c r="G30" i="20"/>
  <c r="J28" i="20"/>
  <c r="E31" i="20"/>
  <c r="J29" i="20"/>
  <c r="G31" i="20"/>
  <c r="E32" i="20"/>
  <c r="O49" i="20"/>
  <c r="E25" i="20"/>
  <c r="G32" i="20"/>
  <c r="E33" i="20"/>
  <c r="J30" i="20"/>
  <c r="G25" i="20"/>
  <c r="E26" i="20"/>
  <c r="J31" i="20"/>
  <c r="G33" i="20"/>
  <c r="G26" i="20"/>
  <c r="E27" i="20"/>
  <c r="J24" i="20" l="1"/>
  <c r="O41" i="20"/>
  <c r="O51" i="20" s="1"/>
  <c r="O53" i="20" s="1"/>
  <c r="L78" i="16" s="1"/>
  <c r="G24" i="20"/>
  <c r="E24" i="20"/>
  <c r="K33" i="20" l="1"/>
  <c r="I16" i="2"/>
  <c r="I15" i="2"/>
  <c r="I14" i="2"/>
  <c r="I13" i="2"/>
  <c r="I12" i="2"/>
  <c r="I11" i="2" s="1"/>
  <c r="J11" i="2" s="1"/>
  <c r="E16" i="2"/>
  <c r="D16" i="2"/>
  <c r="E15" i="2"/>
  <c r="D15" i="2"/>
  <c r="E14" i="2"/>
  <c r="D14" i="2"/>
  <c r="E13" i="2"/>
  <c r="D13" i="2"/>
  <c r="E12" i="2"/>
  <c r="D12" i="2"/>
  <c r="I10" i="2"/>
  <c r="E10" i="2"/>
  <c r="D10" i="2"/>
  <c r="I9" i="2"/>
  <c r="E9" i="2"/>
  <c r="D9" i="2"/>
  <c r="I8" i="2"/>
  <c r="E8" i="2"/>
  <c r="D8" i="2"/>
  <c r="I7" i="2"/>
  <c r="E7" i="2"/>
  <c r="D7" i="2"/>
  <c r="I6" i="2"/>
  <c r="E6" i="2"/>
  <c r="D6" i="2"/>
  <c r="I5" i="2"/>
  <c r="E5" i="2"/>
  <c r="D5" i="2"/>
  <c r="H4" i="2"/>
  <c r="L11" i="2"/>
  <c r="M11" i="2" s="1"/>
  <c r="D11" i="2" l="1"/>
  <c r="E4" i="2"/>
  <c r="H25" i="20"/>
  <c r="N4" i="2"/>
  <c r="D4" i="2"/>
  <c r="I4" i="2"/>
  <c r="J4" i="2" s="1"/>
  <c r="H24" i="20" s="1"/>
  <c r="E11" i="2"/>
  <c r="F11" i="2" s="1"/>
  <c r="K11" i="2"/>
  <c r="K4" i="2"/>
  <c r="N11" i="2"/>
  <c r="L4" i="2"/>
  <c r="M4" i="2" s="1"/>
  <c r="H27" i="20" s="1"/>
  <c r="F4" i="2" l="1"/>
  <c r="H26" i="2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<sst xmlns="http://schemas.openxmlformats.org/spreadsheetml/2006/main" count="346" uniqueCount="170">
  <si>
    <t>Planning of a Hybrid Renewable Energy Polygeneration System (Single Period)</t>
  </si>
  <si>
    <t xml:space="preserve">- - - - - - - - - - - - - - - - - - - - - - - - - - - - </t>
  </si>
  <si>
    <r>
      <rPr>
        <b/>
        <sz val="11"/>
        <color theme="1"/>
        <rFont val="Arial"/>
        <family val="2"/>
      </rPr>
      <t xml:space="preserve">Select the </t>
    </r>
    <r>
      <rPr>
        <sz val="11"/>
        <color theme="1"/>
        <rFont val="Arial"/>
        <family val="2"/>
      </rPr>
      <t xml:space="preserve">blue cell below and </t>
    </r>
    <r>
      <rPr>
        <b/>
        <sz val="11"/>
        <color theme="1"/>
        <rFont val="Arial"/>
        <family val="2"/>
      </rPr>
      <t xml:space="preserve">choose </t>
    </r>
    <r>
      <rPr>
        <sz val="11"/>
        <color theme="1"/>
        <rFont val="Arial"/>
        <family val="2"/>
      </rPr>
      <t xml:space="preserve">region from </t>
    </r>
    <r>
      <rPr>
        <b/>
        <sz val="11"/>
        <color theme="1"/>
        <rFont val="Arial"/>
        <family val="2"/>
      </rPr>
      <t>drop down menu</t>
    </r>
  </si>
  <si>
    <r>
      <rPr>
        <b/>
        <sz val="11"/>
        <color theme="1"/>
        <rFont val="Arial"/>
        <family val="2"/>
      </rPr>
      <t xml:space="preserve">Select the </t>
    </r>
    <r>
      <rPr>
        <sz val="11"/>
        <color theme="1"/>
        <rFont val="Arial"/>
        <family val="2"/>
      </rPr>
      <t xml:space="preserve">blue cell below and </t>
    </r>
    <r>
      <rPr>
        <b/>
        <sz val="11"/>
        <color theme="1"/>
        <rFont val="Arial"/>
        <family val="2"/>
      </rPr>
      <t xml:space="preserve">choose </t>
    </r>
    <r>
      <rPr>
        <sz val="11"/>
        <color theme="1"/>
        <rFont val="Arial"/>
        <family val="2"/>
      </rPr>
      <t xml:space="preserve">period (season) from </t>
    </r>
    <r>
      <rPr>
        <b/>
        <sz val="11"/>
        <color theme="1"/>
        <rFont val="Arial"/>
        <family val="2"/>
      </rPr>
      <t>drop down menu</t>
    </r>
  </si>
  <si>
    <t>ARMM (Autonomous Region of Muslim Mindanao)</t>
  </si>
  <si>
    <t>Dry</t>
  </si>
  <si>
    <t>Electricity (kW)</t>
  </si>
  <si>
    <r>
      <t>Water (m</t>
    </r>
    <r>
      <rPr>
        <vertAlign val="superscript"/>
        <sz val="11"/>
        <color theme="1"/>
        <rFont val="Arial"/>
        <family val="2"/>
      </rPr>
      <t>3</t>
    </r>
    <r>
      <rPr>
        <sz val="11"/>
        <color theme="1"/>
        <rFont val="Arial"/>
        <family val="2"/>
      </rPr>
      <t>)</t>
    </r>
  </si>
  <si>
    <t>Chilling (kW)</t>
  </si>
  <si>
    <t>RESULTS</t>
  </si>
  <si>
    <t xml:space="preserve"> </t>
  </si>
  <si>
    <t>,.</t>
  </si>
  <si>
    <r>
      <t xml:space="preserve">Units that are </t>
    </r>
    <r>
      <rPr>
        <b/>
        <sz val="11"/>
        <rFont val="Arial"/>
        <family val="2"/>
      </rPr>
      <t>black</t>
    </r>
    <r>
      <rPr>
        <sz val="11"/>
        <rFont val="Arial"/>
        <family val="2"/>
      </rPr>
      <t xml:space="preserve"> are considered part of the system. The required capacity is seen in each unit, along with the input and output streams, the final annual revenue and CO2 production is also displayed.</t>
    </r>
  </si>
  <si>
    <t>LEGENDS</t>
  </si>
  <si>
    <t>Black Outline</t>
  </si>
  <si>
    <t>Solid Line</t>
  </si>
  <si>
    <t>Process Unit</t>
  </si>
  <si>
    <t>Input Stream</t>
  </si>
  <si>
    <t>Colored Box</t>
  </si>
  <si>
    <t>Dashed Line</t>
  </si>
  <si>
    <t>Input/Output Stream</t>
  </si>
  <si>
    <t>Output Stream</t>
  </si>
  <si>
    <t>Solar Thermal Energy</t>
  </si>
  <si>
    <t>PVT Collector</t>
  </si>
  <si>
    <t>Multi-effect Distillation System</t>
  </si>
  <si>
    <t>Absorption Chiller</t>
  </si>
  <si>
    <t>Solar Irradiation</t>
  </si>
  <si>
    <t>Chilling</t>
  </si>
  <si>
    <t>CO2</t>
  </si>
  <si>
    <t>Electricity</t>
  </si>
  <si>
    <t>Combined Heating &amp; Power Unit</t>
  </si>
  <si>
    <t>Electric Chiller</t>
  </si>
  <si>
    <t>Biomass</t>
  </si>
  <si>
    <t>Steam</t>
  </si>
  <si>
    <t>Diesel</t>
  </si>
  <si>
    <t>Turbine 1</t>
  </si>
  <si>
    <t>Ultra Filtration Unit</t>
  </si>
  <si>
    <t>Turbine 2</t>
  </si>
  <si>
    <t>Reverse Osmosis Desalination Unit</t>
  </si>
  <si>
    <t>Surface Water</t>
  </si>
  <si>
    <t>Treated Water</t>
  </si>
  <si>
    <t>Profit</t>
  </si>
  <si>
    <t>PROCESS MATRIX (PER DAY BASIS)</t>
  </si>
  <si>
    <t>PROCESS UNITS</t>
  </si>
  <si>
    <t>Solar</t>
  </si>
  <si>
    <t>Hydropower</t>
  </si>
  <si>
    <t>Source</t>
  </si>
  <si>
    <t>y</t>
  </si>
  <si>
    <t>notes</t>
  </si>
  <si>
    <t>yL</t>
  </si>
  <si>
    <t>yU</t>
  </si>
  <si>
    <t>STREAM / SOURCE COSTS</t>
  </si>
  <si>
    <t>ENERRGY VARIABLES</t>
  </si>
  <si>
    <t>PROCESS STREAMS</t>
  </si>
  <si>
    <t>Units</t>
  </si>
  <si>
    <t>PVT Collectors</t>
  </si>
  <si>
    <t>Multi-effect Distillation System (MDS)</t>
  </si>
  <si>
    <t>Ultrafiltration Unit</t>
  </si>
  <si>
    <t>Combined Heating &amp; Power Unit (CHP)</t>
  </si>
  <si>
    <t>Reverse Osmosis Desalination Unit (ROD)</t>
  </si>
  <si>
    <t>kWh/day</t>
  </si>
  <si>
    <t>negative</t>
  </si>
  <si>
    <t>Php/kWh</t>
  </si>
  <si>
    <t>Surface Water (Brine/River)</t>
  </si>
  <si>
    <r>
      <t>m</t>
    </r>
    <r>
      <rPr>
        <vertAlign val="superscript"/>
        <sz val="11"/>
        <color theme="1"/>
        <rFont val="Calibri (Body)"/>
      </rPr>
      <t>3</t>
    </r>
    <r>
      <rPr>
        <sz val="11"/>
        <color theme="1"/>
        <rFont val="Calibri"/>
        <family val="2"/>
        <scheme val="minor"/>
      </rPr>
      <t>/day</t>
    </r>
  </si>
  <si>
    <r>
      <t>Php/m</t>
    </r>
    <r>
      <rPr>
        <vertAlign val="superscript"/>
        <sz val="11"/>
        <color theme="1"/>
        <rFont val="Calibri (Body)"/>
      </rPr>
      <t>3</t>
    </r>
  </si>
  <si>
    <t>Biomass (Wood and Coconut)</t>
  </si>
  <si>
    <t>kg/day</t>
  </si>
  <si>
    <t>Biomass 1 (Wood Chips)</t>
  </si>
  <si>
    <t>Php/kg</t>
  </si>
  <si>
    <t>L/day</t>
  </si>
  <si>
    <t>Php/L</t>
  </si>
  <si>
    <t>positive</t>
  </si>
  <si>
    <t>Heat (Solar Thermal Energy)</t>
  </si>
  <si>
    <t>Heat 1 (Solar Thermal Energy)</t>
  </si>
  <si>
    <t>Treated Surface Water</t>
  </si>
  <si>
    <r>
      <t>CO</t>
    </r>
    <r>
      <rPr>
        <vertAlign val="subscript"/>
        <sz val="11"/>
        <color theme="1"/>
        <rFont val="Calibri (Body)"/>
      </rPr>
      <t>2</t>
    </r>
    <r>
      <rPr>
        <sz val="11"/>
        <color theme="1"/>
        <rFont val="Calibri"/>
        <family val="2"/>
        <scheme val="minor"/>
      </rPr>
      <t xml:space="preserve"> Emissions</t>
    </r>
  </si>
  <si>
    <t>kg</t>
  </si>
  <si>
    <t>CAPITAL COSTS</t>
  </si>
  <si>
    <r>
      <t>MDS
(Php/m</t>
    </r>
    <r>
      <rPr>
        <vertAlign val="superscript"/>
        <sz val="11"/>
        <color theme="1"/>
        <rFont val="Calibri (Body)"/>
      </rPr>
      <t>3</t>
    </r>
    <r>
      <rPr>
        <sz val="11"/>
        <color theme="1"/>
        <rFont val="Calibri"/>
        <family val="2"/>
        <scheme val="minor"/>
      </rPr>
      <t>)</t>
    </r>
  </si>
  <si>
    <t>CHP</t>
  </si>
  <si>
    <t>ROD</t>
  </si>
  <si>
    <t>x</t>
  </si>
  <si>
    <t>Variable</t>
  </si>
  <si>
    <t>Php/kW</t>
  </si>
  <si>
    <t>kW</t>
  </si>
  <si>
    <t>Fixed</t>
  </si>
  <si>
    <t>Php</t>
  </si>
  <si>
    <t>MDS</t>
  </si>
  <si>
    <r>
      <t>m</t>
    </r>
    <r>
      <rPr>
        <vertAlign val="superscript"/>
        <sz val="11"/>
        <color theme="1"/>
        <rFont val="Calibri (Body)"/>
      </rPr>
      <t>3</t>
    </r>
  </si>
  <si>
    <r>
      <t>User Input</t>
    </r>
    <r>
      <rPr>
        <sz val="11"/>
        <color theme="1"/>
        <rFont val="Calibri"/>
        <family val="2"/>
        <scheme val="minor"/>
      </rPr>
      <t xml:space="preserve"> (Available Resources per Unit)</t>
    </r>
  </si>
  <si>
    <t>Variable B</t>
  </si>
  <si>
    <t>kW (cool)</t>
  </si>
  <si>
    <r>
      <t>Variable Cells</t>
    </r>
    <r>
      <rPr>
        <sz val="11"/>
        <color theme="1"/>
        <rFont val="Calibri"/>
        <family val="2"/>
        <scheme val="minor"/>
      </rPr>
      <t xml:space="preserve"> (Values determined by the model)</t>
    </r>
  </si>
  <si>
    <t>LHS</t>
  </si>
  <si>
    <t>RHS</t>
  </si>
  <si>
    <t>Ax = y</t>
  </si>
  <si>
    <t>y &gt; yL</t>
  </si>
  <si>
    <t>y &lt; yU</t>
  </si>
  <si>
    <t>COSTING</t>
  </si>
  <si>
    <t>Annualizing Factor</t>
  </si>
  <si>
    <t>Days/Season</t>
  </si>
  <si>
    <r>
      <t>CO</t>
    </r>
    <r>
      <rPr>
        <vertAlign val="subscript"/>
        <sz val="11"/>
        <color rgb="FF000000"/>
        <rFont val="Calibri"/>
        <family val="2"/>
        <scheme val="minor"/>
      </rPr>
      <t>2</t>
    </r>
    <r>
      <rPr>
        <sz val="11"/>
        <color rgb="FF000000"/>
        <rFont val="Calibri"/>
        <family val="2"/>
        <scheme val="minor"/>
      </rPr>
      <t xml:space="preserve"> Emissions</t>
    </r>
  </si>
  <si>
    <t>Capital Costs</t>
  </si>
  <si>
    <t>Binary</t>
  </si>
  <si>
    <t>Fixed Cost</t>
  </si>
  <si>
    <t>x &lt; Mb</t>
  </si>
  <si>
    <t>Variable Cost</t>
  </si>
  <si>
    <t>CC</t>
  </si>
  <si>
    <t>TAC</t>
  </si>
  <si>
    <t>Product Revenues</t>
  </si>
  <si>
    <t>TOTAL</t>
  </si>
  <si>
    <t>AREA</t>
  </si>
  <si>
    <t>AREA %</t>
  </si>
  <si>
    <t>BIOMASS</t>
  </si>
  <si>
    <t>HYDRO</t>
  </si>
  <si>
    <t>SOLAR</t>
  </si>
  <si>
    <t>NRE</t>
  </si>
  <si>
    <t>(Area of region/Area of island)</t>
  </si>
  <si>
    <t>Coconut</t>
  </si>
  <si>
    <t>Wood</t>
  </si>
  <si>
    <t>Total</t>
  </si>
  <si>
    <t>Irradiation</t>
  </si>
  <si>
    <t>Coal</t>
  </si>
  <si>
    <t>Oil</t>
  </si>
  <si>
    <t>Natural Gas</t>
  </si>
  <si>
    <t>Variations per season</t>
  </si>
  <si>
    <t>Description</t>
  </si>
  <si>
    <t>GHI</t>
  </si>
  <si>
    <t>L</t>
  </si>
  <si>
    <t>Wet</t>
  </si>
  <si>
    <t>5 (BICOL REGION)</t>
  </si>
  <si>
    <t>Albay</t>
  </si>
  <si>
    <t>Hydro</t>
  </si>
  <si>
    <t>Camarines Norte</t>
  </si>
  <si>
    <t>Bio</t>
  </si>
  <si>
    <t>Camarines Sur</t>
  </si>
  <si>
    <t>Catanduanes</t>
  </si>
  <si>
    <t>Masbate</t>
  </si>
  <si>
    <t>Sorsogon</t>
  </si>
  <si>
    <t>ARMM</t>
  </si>
  <si>
    <t>Basilan</t>
  </si>
  <si>
    <t>Tawi Tawi</t>
  </si>
  <si>
    <t>Lanao del Sur</t>
  </si>
  <si>
    <t>Maguindanao</t>
  </si>
  <si>
    <t>Sulu</t>
  </si>
  <si>
    <t>Data for Simulator</t>
  </si>
  <si>
    <t>RAW DATA FOR SELECTED AREA</t>
  </si>
  <si>
    <t>Region</t>
  </si>
  <si>
    <t>REGION V (Bicol Region)</t>
  </si>
  <si>
    <t>FINAL DATA FOR AREA AND SEASON</t>
  </si>
  <si>
    <t>MULTIPLIER FOR SELECTED SEASON</t>
  </si>
  <si>
    <t>Period</t>
  </si>
  <si>
    <t>POPULATION</t>
  </si>
  <si>
    <t>GIGMOTO</t>
  </si>
  <si>
    <t>BICOL</t>
  </si>
  <si>
    <t>TURTLE ISLANDS</t>
  </si>
  <si>
    <r>
      <t>m</t>
    </r>
    <r>
      <rPr>
        <b/>
        <vertAlign val="superscript"/>
        <sz val="11"/>
        <color theme="1"/>
        <rFont val="Arial"/>
        <family val="2"/>
      </rPr>
      <t>3</t>
    </r>
  </si>
  <si>
    <r>
      <t>m</t>
    </r>
    <r>
      <rPr>
        <vertAlign val="superscript"/>
        <sz val="11"/>
        <color theme="1"/>
        <rFont val="Arial"/>
        <family val="2"/>
      </rPr>
      <t>3</t>
    </r>
    <r>
      <rPr>
        <sz val="11"/>
        <color theme="1"/>
        <rFont val="Arial"/>
        <family val="2"/>
      </rPr>
      <t>/day</t>
    </r>
  </si>
  <si>
    <t>Constraints</t>
  </si>
  <si>
    <t>DATA FOR EPSILON CONSTRAINTS</t>
  </si>
  <si>
    <t>Profit Objective Function</t>
  </si>
  <si>
    <r>
      <t>CO</t>
    </r>
    <r>
      <rPr>
        <b/>
        <vertAlign val="subscript"/>
        <sz val="11"/>
        <color theme="1"/>
        <rFont val="Calibri (Body)"/>
      </rPr>
      <t>2</t>
    </r>
    <r>
      <rPr>
        <b/>
        <sz val="11"/>
        <color theme="1"/>
        <rFont val="Calibri"/>
        <family val="2"/>
        <scheme val="minor"/>
      </rPr>
      <t xml:space="preserve"> (y)</t>
    </r>
  </si>
  <si>
    <t>ε–Constraint Graph</t>
  </si>
  <si>
    <r>
      <rPr>
        <b/>
        <sz val="11"/>
        <color theme="1"/>
        <rFont val="Arial"/>
        <family val="2"/>
      </rPr>
      <t>Input</t>
    </r>
    <r>
      <rPr>
        <sz val="11"/>
        <color theme="1"/>
        <rFont val="Arial"/>
        <family val="2"/>
      </rPr>
      <t xml:space="preserve"> demands in cells colored </t>
    </r>
    <r>
      <rPr>
        <b/>
        <sz val="11"/>
        <rFont val="Arial"/>
        <family val="2"/>
      </rPr>
      <t>yellow</t>
    </r>
    <r>
      <rPr>
        <sz val="11"/>
        <color theme="1"/>
        <rFont val="Arial"/>
        <family val="2"/>
      </rPr>
      <t xml:space="preserve">
</t>
    </r>
    <r>
      <rPr>
        <b/>
        <sz val="11"/>
        <color theme="1"/>
        <rFont val="Arial"/>
        <family val="2"/>
      </rPr>
      <t>NOTE:</t>
    </r>
    <r>
      <rPr>
        <sz val="11"/>
        <color theme="1"/>
        <rFont val="Arial"/>
        <family val="2"/>
      </rPr>
      <t xml:space="preserve"> Maximum Values
Electricity - 30,000
Water &amp; Chilling - 10,000</t>
    </r>
  </si>
  <si>
    <r>
      <rPr>
        <b/>
        <sz val="11"/>
        <color theme="1"/>
        <rFont val="Arial"/>
        <family val="2"/>
      </rPr>
      <t>Select</t>
    </r>
    <r>
      <rPr>
        <sz val="11"/>
        <color theme="1"/>
        <rFont val="Arial"/>
        <family val="2"/>
      </rPr>
      <t xml:space="preserve"> the button of the action you'd like to take once all colored cells are filled up. Once Excel returns to this sheet, the plan will be reflected in </t>
    </r>
    <r>
      <rPr>
        <b/>
        <sz val="11"/>
        <color theme="1"/>
        <rFont val="Arial"/>
        <family val="2"/>
      </rPr>
      <t>Results</t>
    </r>
  </si>
  <si>
    <r>
      <t>CO</t>
    </r>
    <r>
      <rPr>
        <vertAlign val="subscript"/>
        <sz val="11"/>
        <color theme="1"/>
        <rFont val="Calibri (Body)"/>
      </rPr>
      <t xml:space="preserve">2 </t>
    </r>
    <r>
      <rPr>
        <sz val="11"/>
        <color theme="1"/>
        <rFont val="Calibri"/>
        <family val="2"/>
        <scheme val="minor"/>
      </rPr>
      <t>Objective Function</t>
    </r>
  </si>
  <si>
    <r>
      <t>CO</t>
    </r>
    <r>
      <rPr>
        <b/>
        <vertAlign val="subscript"/>
        <sz val="11"/>
        <color theme="1"/>
        <rFont val="Arial"/>
        <family val="2"/>
      </rPr>
      <t xml:space="preserve">2 </t>
    </r>
    <r>
      <rPr>
        <b/>
        <sz val="11"/>
        <color theme="1"/>
        <rFont val="Arial"/>
        <family val="2"/>
      </rPr>
      <t>emissions</t>
    </r>
  </si>
  <si>
    <r>
      <t>m</t>
    </r>
    <r>
      <rPr>
        <b/>
        <vertAlign val="superscript"/>
        <sz val="11"/>
        <color theme="1"/>
        <rFont val="Calibri (Body)"/>
      </rPr>
      <t>2</t>
    </r>
  </si>
  <si>
    <r>
      <t>kW/m</t>
    </r>
    <r>
      <rPr>
        <vertAlign val="superscript"/>
        <sz val="11"/>
        <color theme="1"/>
        <rFont val="Calibri (Body)"/>
      </rPr>
      <t>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</si>
</sst>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0" x14ac:knownFonts="1">
    <font>
      <sz val="11"/>
      <color theme="1"/>
      <name val="Calibri"/>
      <family val="2"/>
      <scheme val="minor"/>
    </font>
    <font>
      <b/>
      <sz val="11"/>
      <color theme="1"/>
      <name val="Calibri"/>
      <family val="2"/>
      <scheme val="minor"/>
    </font>
    <font>
      <sz val="9"/>
      <color theme="1"/>
      <name val="Calibri"/>
      <family val="2"/>
      <scheme val="minor"/>
    </font>
    <font>
      <vertAlign val="subscript"/>
      <sz val="11"/>
      <color theme="1"/>
      <name val="Calibri (Body)"/>
    </font>
    <font>
      <sz val="11"/>
      <color rgb="FF000000"/>
      <name val="Calibri"/>
      <family val="2"/>
      <scheme val="minor"/>
    </font>
    <font>
      <vertAlign val="subscript"/>
      <sz val="11"/>
      <color rgb="FF000000"/>
      <name val="Calibri"/>
      <family val="2"/>
      <scheme val="minor"/>
    </font>
    <font>
      <vertAlign val="superscript"/>
      <sz val="11"/>
      <color theme="1"/>
      <name val="Calibri (Body)"/>
    </font>
    <font>
      <b/>
      <sz val="8"/>
      <color theme="1"/>
      <name val="Calibri"/>
      <family val="2"/>
      <scheme val="minor"/>
    </font>
    <font>
      <b/>
      <sz val="20"/>
      <color theme="1"/>
      <name val="Arial"/>
      <family val="2"/>
    </font>
    <font>
      <sz val="11"/>
      <color theme="1"/>
      <name val="Arial"/>
      <family val="2"/>
    </font>
    <font>
      <b/>
      <sz val="11"/>
      <color theme="1"/>
      <name val="Arial"/>
      <family val="2"/>
    </font>
    <font>
      <b/>
      <sz val="11"/>
      <name val="Arial"/>
      <family val="2"/>
    </font>
    <font>
      <sz val="14"/>
      <color theme="1"/>
      <name val="Calibri"/>
      <family val="2"/>
      <scheme val="minor"/>
    </font>
    <font>
      <vertAlign val="superscript"/>
      <sz val="11"/>
      <color theme="1"/>
      <name val="Arial"/>
      <family val="2"/>
    </font>
    <font>
      <b/>
      <sz val="14"/>
      <color theme="1"/>
      <name val="Arial"/>
      <family val="2"/>
    </font>
    <font>
      <sz val="11"/>
      <name val="Arial"/>
      <family val="2"/>
    </font>
    <font>
      <sz val="11"/>
      <name val="Calibri"/>
      <family val="2"/>
      <scheme val="minor"/>
    </font>
    <font>
      <b/>
      <sz val="11"/>
      <color rgb="FF000000"/>
      <name val="Arial"/>
      <family val="2"/>
    </font>
    <font>
      <sz val="11"/>
      <color theme="0"/>
      <name val="Arial"/>
      <family val="2"/>
    </font>
    <font>
      <sz val="11"/>
      <color theme="0" tint="-0.34998626667073579"/>
      <name val="Arial"/>
      <family val="2"/>
    </font>
    <font>
      <b/>
      <sz val="11"/>
      <name val="Calibri"/>
      <family val="2"/>
      <scheme val="minor"/>
    </font>
    <font>
      <b/>
      <sz val="11"/>
      <color rgb="FF000000"/>
      <name val="Calibri"/>
      <family val="2"/>
      <scheme val="minor"/>
    </font>
    <font>
      <sz val="11"/>
      <color theme="1"/>
      <name val="Calibri"/>
      <family val="2"/>
      <scheme val="minor"/>
    </font>
    <font>
      <b/>
      <vertAlign val="superscript"/>
      <sz val="11"/>
      <color theme="1"/>
      <name val="Arial"/>
      <family val="2"/>
    </font>
    <font>
      <sz val="12"/>
      <color rgb="FF000000"/>
      <name val="Calibri"/>
      <family val="2"/>
    </font>
    <font>
      <sz val="11"/>
      <color rgb="FF000000"/>
      <name val="Calibri"/>
      <family val="2"/>
    </font>
    <font>
      <b/>
      <vertAlign val="subscript"/>
      <sz val="11"/>
      <color theme="1"/>
      <name val="Calibri (Body)"/>
    </font>
    <font>
      <sz val="8"/>
      <color rgb="FF000000"/>
      <name val="Calibri"/>
      <family val="2"/>
    </font>
    <font>
      <b/>
      <vertAlign val="subscript"/>
      <sz val="11"/>
      <color theme="1"/>
      <name val="Arial"/>
      <family val="2"/>
    </font>
    <font>
      <b/>
      <vertAlign val="superscript"/>
      <sz val="11"/>
      <color theme="1"/>
      <name val="Calibri (Body)"/>
    </font>
  </fonts>
  <fills count="17">
    <fill>
      <patternFill patternType="none"/>
    </fill>
    <fill>
      <patternFill patternType="gray125"/>
    </fill>
    <fill>
      <patternFill patternType="solid">
        <fgColor theme="2"/>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0"/>
        <bgColor indexed="64"/>
      </patternFill>
    </fill>
    <fill>
      <patternFill patternType="solid">
        <fgColor theme="8" tint="-0.249977111117893"/>
        <bgColor indexed="64"/>
      </patternFill>
    </fill>
    <fill>
      <patternFill patternType="solid">
        <fgColor theme="5"/>
        <bgColor indexed="64"/>
      </patternFill>
    </fill>
    <fill>
      <patternFill patternType="solid">
        <fgColor theme="2" tint="-0.89999084444715716"/>
        <bgColor indexed="64"/>
      </patternFill>
    </fill>
    <fill>
      <patternFill patternType="solid">
        <fgColor rgb="FF42CCBA"/>
        <bgColor indexed="64"/>
      </patternFill>
    </fill>
    <fill>
      <patternFill patternType="solid">
        <fgColor theme="9" tint="0.59999389629810485"/>
        <bgColor indexed="64"/>
      </patternFill>
    </fill>
    <fill>
      <patternFill patternType="solid">
        <fgColor rgb="FFFF85FF"/>
        <bgColor indexed="64"/>
      </patternFill>
    </fill>
    <fill>
      <patternFill patternType="solid">
        <fgColor rgb="FFB4C6E7"/>
        <bgColor rgb="FF000000"/>
      </patternFill>
    </fill>
  </fills>
  <borders count="51">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top/>
      <bottom style="thin">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style="thin">
        <color theme="0"/>
      </left>
      <right style="thin">
        <color theme="0"/>
      </right>
      <top style="thin">
        <color theme="0"/>
      </top>
      <bottom style="thin">
        <color theme="1"/>
      </bottom>
      <diagonal/>
    </border>
    <border>
      <left/>
      <right style="thin">
        <color theme="1"/>
      </right>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theme="0"/>
      </left>
      <right/>
      <top/>
      <bottom style="thin">
        <color indexed="64"/>
      </bottom>
      <diagonal/>
    </border>
    <border>
      <left style="medium">
        <color indexed="64"/>
      </left>
      <right style="medium">
        <color indexed="64"/>
      </right>
      <top/>
      <bottom style="thin">
        <color indexed="64"/>
      </bottom>
      <diagonal/>
    </border>
  </borders>
  <cellStyleXfs count="2">
    <xf numFmtId="0" fontId="0" fillId="0" borderId="0"/>
    <xf numFmtId="43" fontId="22" fillId="0" borderId="0" applyFont="0" applyFill="0" applyBorder="0" applyAlignment="0" applyProtection="0"/>
  </cellStyleXfs>
  <cellXfs count="287">
    <xf numFmtId="0" fontId="0" fillId="0" borderId="0" xfId="0"/>
    <xf numFmtId="0" fontId="0" fillId="2" borderId="1" xfId="0" applyFill="1" applyBorder="1" applyAlignment="1">
      <alignment horizontal="center" vertical="center" wrapText="1"/>
    </xf>
    <xf numFmtId="0" fontId="0" fillId="0" borderId="0" xfId="0" applyAlignment="1">
      <alignment vertical="center" wrapText="1"/>
    </xf>
    <xf numFmtId="0" fontId="0" fillId="2" borderId="1" xfId="0" quotePrefix="1" applyFill="1" applyBorder="1" applyAlignment="1">
      <alignment horizontal="center" vertical="center" wrapText="1"/>
    </xf>
    <xf numFmtId="0" fontId="0" fillId="0" borderId="0" xfId="0" applyAlignment="1">
      <alignment horizontal="center" vertical="center" textRotation="255" wrapText="1"/>
    </xf>
    <xf numFmtId="0" fontId="0" fillId="2" borderId="2" xfId="0" quotePrefix="1" applyFill="1" applyBorder="1" applyAlignment="1">
      <alignment horizontal="center" vertical="center" wrapText="1"/>
    </xf>
    <xf numFmtId="0" fontId="1" fillId="0" borderId="0" xfId="0" applyFont="1" applyAlignment="1">
      <alignment vertical="center" wrapText="1"/>
    </xf>
    <xf numFmtId="0" fontId="0" fillId="6" borderId="0" xfId="0" applyFill="1" applyAlignment="1">
      <alignment horizontal="center" vertical="center" wrapText="1"/>
    </xf>
    <xf numFmtId="3" fontId="0" fillId="2" borderId="1" xfId="0" quotePrefix="1" applyNumberFormat="1" applyFill="1" applyBorder="1" applyAlignment="1">
      <alignment horizontal="center" vertical="center" wrapText="1"/>
    </xf>
    <xf numFmtId="0" fontId="0" fillId="0" borderId="6" xfId="0" applyBorder="1" applyAlignment="1">
      <alignment horizontal="center" vertical="center" wrapText="1"/>
    </xf>
    <xf numFmtId="0" fontId="0" fillId="2" borderId="10" xfId="0" quotePrefix="1" applyFill="1" applyBorder="1" applyAlignment="1">
      <alignment horizontal="center" vertical="center" wrapText="1"/>
    </xf>
    <xf numFmtId="0" fontId="0" fillId="0" borderId="11" xfId="0" applyBorder="1" applyAlignment="1">
      <alignment horizontal="center" vertical="center" wrapText="1"/>
    </xf>
    <xf numFmtId="0" fontId="0" fillId="0" borderId="7" xfId="0" applyBorder="1" applyAlignment="1">
      <alignment vertical="center" wrapText="1"/>
    </xf>
    <xf numFmtId="0" fontId="0" fillId="0" borderId="8" xfId="0" applyBorder="1" applyAlignment="1">
      <alignment vertical="center" wrapText="1"/>
    </xf>
    <xf numFmtId="0" fontId="4" fillId="0" borderId="0" xfId="0" applyFont="1" applyAlignment="1">
      <alignment horizontal="center" vertical="center" wrapText="1"/>
    </xf>
    <xf numFmtId="0" fontId="1" fillId="0" borderId="8" xfId="0" applyFont="1" applyBorder="1" applyAlignment="1">
      <alignment vertical="center" wrapText="1"/>
    </xf>
    <xf numFmtId="0" fontId="0" fillId="7" borderId="16" xfId="0" applyFill="1" applyBorder="1" applyAlignment="1">
      <alignment horizontal="center" vertical="center" wrapText="1"/>
    </xf>
    <xf numFmtId="0" fontId="0" fillId="7" borderId="15" xfId="0" applyFill="1" applyBorder="1" applyAlignment="1">
      <alignment horizontal="center" vertical="center" wrapText="1"/>
    </xf>
    <xf numFmtId="0" fontId="1" fillId="6" borderId="15" xfId="0" applyFont="1" applyFill="1" applyBorder="1" applyAlignment="1">
      <alignment vertical="center" wrapText="1"/>
    </xf>
    <xf numFmtId="0" fontId="0" fillId="7" borderId="17" xfId="0" applyFill="1" applyBorder="1" applyAlignment="1">
      <alignment horizontal="center" vertical="center" wrapText="1"/>
    </xf>
    <xf numFmtId="0" fontId="0" fillId="0" borderId="26" xfId="0" applyBorder="1" applyAlignment="1">
      <alignment horizontal="center" vertical="center" wrapText="1"/>
    </xf>
    <xf numFmtId="0" fontId="0" fillId="6" borderId="16" xfId="0" applyFill="1" applyBorder="1" applyAlignment="1">
      <alignment horizontal="center" vertical="center" wrapText="1"/>
    </xf>
    <xf numFmtId="0" fontId="0" fillId="6" borderId="24" xfId="0" applyFill="1" applyBorder="1" applyAlignment="1">
      <alignment horizontal="center" vertical="center" wrapText="1"/>
    </xf>
    <xf numFmtId="0" fontId="0" fillId="6" borderId="17" xfId="0" applyFill="1" applyBorder="1" applyAlignment="1">
      <alignment horizontal="center" vertical="center" wrapText="1"/>
    </xf>
    <xf numFmtId="0" fontId="0" fillId="6" borderId="18" xfId="0" applyFill="1" applyBorder="1" applyAlignment="1">
      <alignment horizontal="center" vertical="center" wrapText="1"/>
    </xf>
    <xf numFmtId="0" fontId="0" fillId="6" borderId="19"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23" xfId="0" applyFill="1" applyBorder="1" applyAlignment="1">
      <alignment horizontal="center" vertical="center" wrapText="1"/>
    </xf>
    <xf numFmtId="0" fontId="0" fillId="6" borderId="20" xfId="0" applyFill="1" applyBorder="1" applyAlignment="1">
      <alignment horizontal="center" vertical="center" wrapText="1"/>
    </xf>
    <xf numFmtId="0" fontId="0" fillId="6" borderId="21" xfId="0" applyFill="1" applyBorder="1" applyAlignment="1">
      <alignment horizontal="center" vertical="center" wrapText="1"/>
    </xf>
    <xf numFmtId="1" fontId="0" fillId="6" borderId="12" xfId="0" applyNumberFormat="1" applyFill="1" applyBorder="1" applyAlignment="1">
      <alignment horizontal="center" vertical="center" wrapText="1"/>
    </xf>
    <xf numFmtId="1" fontId="0" fillId="6" borderId="13" xfId="0" applyNumberFormat="1" applyFill="1" applyBorder="1" applyAlignment="1">
      <alignment horizontal="center" vertical="center" wrapText="1"/>
    </xf>
    <xf numFmtId="1" fontId="0" fillId="6" borderId="14" xfId="0" applyNumberFormat="1" applyFill="1" applyBorder="1" applyAlignment="1">
      <alignment horizontal="center" vertical="center" wrapText="1"/>
    </xf>
    <xf numFmtId="0" fontId="0" fillId="0" borderId="33" xfId="0" applyBorder="1" applyAlignment="1">
      <alignment wrapText="1"/>
    </xf>
    <xf numFmtId="2" fontId="0" fillId="6" borderId="16" xfId="0" applyNumberFormat="1" applyFill="1" applyBorder="1" applyAlignment="1">
      <alignment horizontal="center" vertical="center" wrapText="1"/>
    </xf>
    <xf numFmtId="2" fontId="0" fillId="6" borderId="24" xfId="0" applyNumberFormat="1" applyFill="1" applyBorder="1" applyAlignment="1">
      <alignment horizontal="center" vertical="center" wrapText="1"/>
    </xf>
    <xf numFmtId="2" fontId="0" fillId="6" borderId="17" xfId="0" applyNumberFormat="1" applyFill="1" applyBorder="1" applyAlignment="1">
      <alignment horizontal="center" vertical="center" wrapText="1"/>
    </xf>
    <xf numFmtId="3" fontId="0" fillId="2" borderId="1" xfId="0" applyNumberFormat="1" applyFill="1" applyBorder="1" applyAlignment="1">
      <alignment horizontal="center" vertical="center" wrapText="1"/>
    </xf>
    <xf numFmtId="0" fontId="0" fillId="0" borderId="34" xfId="0" applyBorder="1" applyAlignment="1">
      <alignment horizontal="center" vertical="center" wrapText="1"/>
    </xf>
    <xf numFmtId="0" fontId="0" fillId="0" borderId="0" xfId="0" applyAlignment="1">
      <alignment horizontal="center" vertical="center" wrapText="1"/>
    </xf>
    <xf numFmtId="0" fontId="0" fillId="9" borderId="0" xfId="0" applyFill="1"/>
    <xf numFmtId="0" fontId="8" fillId="9" borderId="0" xfId="0" applyFont="1" applyFill="1" applyAlignment="1">
      <alignment vertical="center"/>
    </xf>
    <xf numFmtId="0" fontId="9" fillId="9" borderId="0" xfId="0" applyFont="1" applyFill="1"/>
    <xf numFmtId="0" fontId="9" fillId="9" borderId="0" xfId="0" quotePrefix="1" applyFont="1" applyFill="1"/>
    <xf numFmtId="0" fontId="9" fillId="9" borderId="0" xfId="0" applyFont="1" applyFill="1" applyAlignment="1">
      <alignment vertical="center"/>
    </xf>
    <xf numFmtId="0" fontId="9" fillId="9" borderId="0" xfId="0" applyFont="1" applyFill="1" applyAlignment="1">
      <alignment horizontal="center" vertical="center"/>
    </xf>
    <xf numFmtId="2" fontId="0" fillId="0" borderId="0" xfId="0" applyNumberFormat="1"/>
    <xf numFmtId="2" fontId="0" fillId="0" borderId="0" xfId="0" applyNumberFormat="1" applyAlignment="1">
      <alignment horizontal="center" vertical="center" wrapText="1"/>
    </xf>
    <xf numFmtId="0" fontId="16" fillId="9" borderId="0" xfId="0" applyFont="1" applyFill="1"/>
    <xf numFmtId="0" fontId="15" fillId="9" borderId="0" xfId="0" applyFont="1" applyFill="1" applyAlignment="1">
      <alignment vertical="top"/>
    </xf>
    <xf numFmtId="0" fontId="11" fillId="9" borderId="0" xfId="0" applyFont="1" applyFill="1" applyAlignment="1">
      <alignment vertical="top"/>
    </xf>
    <xf numFmtId="0" fontId="15" fillId="9" borderId="0" xfId="0" applyFont="1" applyFill="1" applyAlignment="1">
      <alignment vertical="center"/>
    </xf>
    <xf numFmtId="0" fontId="10" fillId="9" borderId="0" xfId="0" applyFont="1" applyFill="1" applyAlignment="1">
      <alignment vertical="center"/>
    </xf>
    <xf numFmtId="0" fontId="10" fillId="9" borderId="0" xfId="0" applyFont="1" applyFill="1" applyAlignment="1">
      <alignment horizontal="center" vertical="center"/>
    </xf>
    <xf numFmtId="0" fontId="0" fillId="9" borderId="0" xfId="0" applyFill="1" applyAlignment="1">
      <alignment wrapText="1"/>
    </xf>
    <xf numFmtId="0" fontId="1" fillId="0" borderId="33" xfId="0" applyFont="1" applyBorder="1" applyAlignment="1">
      <alignment horizontal="center" vertical="center"/>
    </xf>
    <xf numFmtId="0" fontId="0" fillId="0" borderId="33" xfId="0" applyBorder="1" applyAlignment="1">
      <alignment horizontal="center"/>
    </xf>
    <xf numFmtId="0" fontId="0" fillId="0" borderId="33" xfId="0" applyBorder="1" applyAlignment="1">
      <alignment horizontal="center" vertical="center" wrapText="1"/>
    </xf>
    <xf numFmtId="0" fontId="2" fillId="0" borderId="33" xfId="0" applyFont="1" applyBorder="1" applyAlignment="1">
      <alignment horizontal="center" vertical="center"/>
    </xf>
    <xf numFmtId="0" fontId="0" fillId="0" borderId="33" xfId="0" applyBorder="1" applyAlignment="1">
      <alignment horizontal="center" vertical="center"/>
    </xf>
    <xf numFmtId="0" fontId="0" fillId="0" borderId="33" xfId="0" applyBorder="1"/>
    <xf numFmtId="0" fontId="0" fillId="9" borderId="0" xfId="0" applyFill="1" applyAlignment="1">
      <alignment horizontal="center" vertical="center"/>
    </xf>
    <xf numFmtId="0" fontId="20" fillId="8" borderId="33" xfId="0" applyFont="1" applyFill="1" applyBorder="1" applyAlignment="1">
      <alignment horizontal="center" wrapText="1"/>
    </xf>
    <xf numFmtId="0" fontId="1" fillId="0" borderId="33" xfId="0" applyFont="1" applyBorder="1" applyAlignment="1">
      <alignment vertical="center" wrapText="1"/>
    </xf>
    <xf numFmtId="0" fontId="0" fillId="2" borderId="10" xfId="0" applyFill="1" applyBorder="1" applyAlignment="1">
      <alignment horizontal="center" vertical="center" wrapText="1"/>
    </xf>
    <xf numFmtId="0" fontId="9" fillId="9" borderId="0" xfId="0" applyFont="1" applyFill="1" applyAlignment="1">
      <alignment horizontal="center"/>
    </xf>
    <xf numFmtId="0" fontId="0" fillId="0" borderId="37" xfId="0" applyBorder="1"/>
    <xf numFmtId="0" fontId="0" fillId="0" borderId="37" xfId="0" applyBorder="1" applyAlignment="1">
      <alignment vertical="center"/>
    </xf>
    <xf numFmtId="0" fontId="0" fillId="0" borderId="39" xfId="0" applyBorder="1"/>
    <xf numFmtId="0" fontId="1" fillId="0" borderId="40" xfId="0" applyFont="1" applyBorder="1"/>
    <xf numFmtId="0" fontId="1" fillId="0" borderId="41" xfId="0" applyFont="1" applyBorder="1"/>
    <xf numFmtId="0" fontId="0" fillId="0" borderId="41" xfId="0" applyBorder="1"/>
    <xf numFmtId="0" fontId="1" fillId="6" borderId="41" xfId="0" applyFont="1" applyFill="1" applyBorder="1" applyAlignment="1">
      <alignment vertical="center"/>
    </xf>
    <xf numFmtId="0" fontId="1" fillId="6" borderId="41" xfId="0" applyFont="1" applyFill="1" applyBorder="1" applyAlignment="1">
      <alignment horizontal="center"/>
    </xf>
    <xf numFmtId="0" fontId="1" fillId="0" borderId="42" xfId="0" applyFont="1" applyBorder="1"/>
    <xf numFmtId="0" fontId="1" fillId="0" borderId="37" xfId="0" applyFont="1" applyBorder="1" applyAlignment="1">
      <alignment horizontal="center" vertical="center"/>
    </xf>
    <xf numFmtId="0" fontId="0" fillId="0" borderId="37" xfId="0" applyBorder="1" applyAlignment="1">
      <alignment horizontal="center" vertical="center"/>
    </xf>
    <xf numFmtId="0" fontId="0" fillId="0" borderId="37" xfId="0" applyBorder="1" applyAlignment="1">
      <alignment horizontal="center" vertical="center" wrapText="1"/>
    </xf>
    <xf numFmtId="3" fontId="0" fillId="0" borderId="41" xfId="0" applyNumberFormat="1" applyBorder="1"/>
    <xf numFmtId="3" fontId="1" fillId="6" borderId="41" xfId="0" applyNumberFormat="1" applyFont="1" applyFill="1" applyBorder="1" applyAlignment="1">
      <alignment vertical="center"/>
    </xf>
    <xf numFmtId="0" fontId="0" fillId="9" borderId="33" xfId="0" applyFill="1" applyBorder="1"/>
    <xf numFmtId="0" fontId="0" fillId="8" borderId="33" xfId="0" applyFill="1" applyBorder="1" applyAlignment="1">
      <alignment horizontal="center" vertical="center"/>
    </xf>
    <xf numFmtId="0" fontId="1" fillId="8" borderId="33" xfId="0" applyFont="1" applyFill="1" applyBorder="1"/>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7" xfId="0" applyBorder="1" applyAlignment="1">
      <alignment horizontal="center" vertical="center" wrapText="1"/>
    </xf>
    <xf numFmtId="0" fontId="1" fillId="0" borderId="4" xfId="0" applyFont="1" applyBorder="1" applyAlignment="1">
      <alignment horizontal="center" vertical="center" wrapText="1"/>
    </xf>
    <xf numFmtId="0" fontId="0" fillId="0" borderId="9" xfId="0" applyBorder="1" applyAlignment="1">
      <alignment horizontal="center" vertical="center" wrapText="1"/>
    </xf>
    <xf numFmtId="0" fontId="0" fillId="0" borderId="3" xfId="0" applyBorder="1" applyAlignment="1">
      <alignment horizontal="center" vertical="center" wrapText="1"/>
    </xf>
    <xf numFmtId="11" fontId="0" fillId="0" borderId="0" xfId="0" applyNumberFormat="1" applyAlignment="1">
      <alignment horizontal="center" vertical="center" wrapText="1"/>
    </xf>
    <xf numFmtId="0" fontId="21" fillId="16" borderId="13" xfId="0" applyFont="1" applyFill="1" applyBorder="1"/>
    <xf numFmtId="4" fontId="0" fillId="0" borderId="0" xfId="0" applyNumberFormat="1" applyAlignment="1">
      <alignment horizontal="center" vertical="center" wrapText="1"/>
    </xf>
    <xf numFmtId="0" fontId="1" fillId="0" borderId="48" xfId="0" applyFont="1" applyBorder="1"/>
    <xf numFmtId="3" fontId="0" fillId="0" borderId="0" xfId="1" applyNumberFormat="1" applyFont="1" applyAlignment="1">
      <alignment horizontal="center" vertical="center" wrapText="1"/>
    </xf>
    <xf numFmtId="3" fontId="0" fillId="0" borderId="24" xfId="1" applyNumberFormat="1" applyFont="1" applyBorder="1" applyAlignment="1">
      <alignment horizontal="center" vertical="center" wrapText="1"/>
    </xf>
    <xf numFmtId="3" fontId="0" fillId="7" borderId="24" xfId="1" applyNumberFormat="1" applyFont="1" applyFill="1" applyBorder="1" applyAlignment="1">
      <alignment horizontal="center" vertical="center" wrapText="1"/>
    </xf>
    <xf numFmtId="4" fontId="0" fillId="6" borderId="16" xfId="0" applyNumberFormat="1" applyFill="1" applyBorder="1" applyAlignment="1">
      <alignment horizontal="center" vertical="center" wrapText="1"/>
    </xf>
    <xf numFmtId="4" fontId="0" fillId="6" borderId="24" xfId="0" applyNumberFormat="1" applyFill="1" applyBorder="1" applyAlignment="1">
      <alignment horizontal="center" vertical="center" wrapText="1"/>
    </xf>
    <xf numFmtId="1" fontId="0" fillId="6" borderId="16" xfId="0" applyNumberFormat="1" applyFill="1" applyBorder="1" applyAlignment="1">
      <alignment horizontal="center" vertical="center" wrapText="1"/>
    </xf>
    <xf numFmtId="1" fontId="0" fillId="6" borderId="24" xfId="0" applyNumberFormat="1" applyFill="1" applyBorder="1" applyAlignment="1">
      <alignment horizontal="center" vertical="center" wrapText="1"/>
    </xf>
    <xf numFmtId="4" fontId="0" fillId="6" borderId="16" xfId="1" applyNumberFormat="1" applyFont="1" applyFill="1" applyBorder="1" applyAlignment="1">
      <alignment horizontal="center" vertical="center" wrapText="1"/>
    </xf>
    <xf numFmtId="4" fontId="0" fillId="6" borderId="24" xfId="1" applyNumberFormat="1" applyFont="1" applyFill="1" applyBorder="1" applyAlignment="1">
      <alignment horizontal="center" vertical="center" wrapText="1"/>
    </xf>
    <xf numFmtId="4" fontId="0" fillId="6" borderId="17" xfId="1" applyNumberFormat="1" applyFont="1" applyFill="1" applyBorder="1" applyAlignment="1">
      <alignment horizontal="center" vertical="center" wrapText="1"/>
    </xf>
    <xf numFmtId="4" fontId="16" fillId="9" borderId="0" xfId="0" applyNumberFormat="1" applyFont="1" applyFill="1"/>
    <xf numFmtId="4" fontId="15" fillId="9" borderId="0" xfId="0" applyNumberFormat="1" applyFont="1" applyFill="1" applyAlignment="1">
      <alignment vertical="center" wrapText="1"/>
    </xf>
    <xf numFmtId="4" fontId="15" fillId="9" borderId="0" xfId="0" applyNumberFormat="1" applyFont="1" applyFill="1"/>
    <xf numFmtId="4" fontId="9" fillId="9" borderId="0" xfId="0" applyNumberFormat="1" applyFont="1" applyFill="1"/>
    <xf numFmtId="4" fontId="15" fillId="9" borderId="0" xfId="0" applyNumberFormat="1" applyFont="1" applyFill="1" applyAlignment="1">
      <alignment horizontal="right"/>
    </xf>
    <xf numFmtId="4" fontId="15" fillId="9" borderId="0" xfId="0" applyNumberFormat="1" applyFont="1" applyFill="1" applyAlignment="1">
      <alignment horizontal="left"/>
    </xf>
    <xf numFmtId="4" fontId="0" fillId="9" borderId="0" xfId="0" applyNumberFormat="1" applyFill="1"/>
    <xf numFmtId="4" fontId="9" fillId="9" borderId="0" xfId="0" applyNumberFormat="1" applyFont="1" applyFill="1" applyAlignment="1">
      <alignment wrapText="1"/>
    </xf>
    <xf numFmtId="4" fontId="17" fillId="9" borderId="0" xfId="0" applyNumberFormat="1" applyFont="1" applyFill="1" applyAlignment="1">
      <alignment wrapText="1"/>
    </xf>
    <xf numFmtId="4" fontId="10" fillId="9" borderId="0" xfId="0" applyNumberFormat="1" applyFont="1" applyFill="1" applyAlignment="1">
      <alignment vertical="center" wrapText="1"/>
    </xf>
    <xf numFmtId="4" fontId="10" fillId="9" borderId="0" xfId="0" applyNumberFormat="1" applyFont="1" applyFill="1" applyAlignment="1">
      <alignment vertical="center"/>
    </xf>
    <xf numFmtId="4" fontId="9" fillId="9" borderId="0" xfId="0" applyNumberFormat="1" applyFont="1" applyFill="1" applyAlignment="1">
      <alignment horizontal="right" wrapText="1"/>
    </xf>
    <xf numFmtId="4" fontId="9" fillId="9" borderId="0" xfId="0" applyNumberFormat="1" applyFont="1" applyFill="1" applyAlignment="1">
      <alignment horizontal="left" wrapText="1"/>
    </xf>
    <xf numFmtId="4" fontId="10" fillId="9" borderId="25" xfId="0" applyNumberFormat="1" applyFont="1" applyFill="1" applyBorder="1" applyAlignment="1">
      <alignment horizontal="right" vertical="center" wrapText="1"/>
    </xf>
    <xf numFmtId="4" fontId="10" fillId="9" borderId="27" xfId="0" applyNumberFormat="1" applyFont="1" applyFill="1" applyBorder="1" applyAlignment="1">
      <alignment horizontal="left" vertical="center" wrapText="1"/>
    </xf>
    <xf numFmtId="4" fontId="9" fillId="9" borderId="0" xfId="0" applyNumberFormat="1" applyFont="1" applyFill="1" applyAlignment="1">
      <alignment vertical="center" wrapText="1"/>
    </xf>
    <xf numFmtId="4" fontId="10" fillId="9" borderId="0" xfId="0" applyNumberFormat="1" applyFont="1" applyFill="1" applyAlignment="1">
      <alignment horizontal="right" vertical="center" wrapText="1"/>
    </xf>
    <xf numFmtId="4" fontId="10" fillId="9" borderId="0" xfId="0" applyNumberFormat="1" applyFont="1" applyFill="1" applyAlignment="1">
      <alignment horizontal="center" vertical="center"/>
    </xf>
    <xf numFmtId="4" fontId="9" fillId="9" borderId="0" xfId="0" applyNumberFormat="1" applyFont="1" applyFill="1" applyAlignment="1">
      <alignment vertical="center"/>
    </xf>
    <xf numFmtId="4" fontId="18" fillId="9" borderId="0" xfId="0" applyNumberFormat="1" applyFont="1" applyFill="1" applyAlignment="1">
      <alignment vertical="center" wrapText="1"/>
    </xf>
    <xf numFmtId="4" fontId="19" fillId="9" borderId="0" xfId="0" applyNumberFormat="1" applyFont="1" applyFill="1" applyAlignment="1">
      <alignment vertical="center" wrapText="1"/>
    </xf>
    <xf numFmtId="4" fontId="9" fillId="9" borderId="0" xfId="0" applyNumberFormat="1" applyFont="1" applyFill="1" applyAlignment="1">
      <alignment horizontal="right"/>
    </xf>
    <xf numFmtId="4" fontId="9" fillId="9" borderId="0" xfId="0" applyNumberFormat="1" applyFont="1" applyFill="1" applyAlignment="1">
      <alignment horizontal="left"/>
    </xf>
    <xf numFmtId="4" fontId="10" fillId="9" borderId="0" xfId="0" applyNumberFormat="1" applyFont="1" applyFill="1" applyAlignment="1">
      <alignment vertical="top" wrapText="1"/>
    </xf>
    <xf numFmtId="4" fontId="17" fillId="9" borderId="0" xfId="0" applyNumberFormat="1" applyFont="1" applyFill="1" applyAlignment="1">
      <alignment vertical="center" wrapText="1"/>
    </xf>
    <xf numFmtId="4" fontId="9" fillId="9" borderId="0" xfId="0" applyNumberFormat="1" applyFont="1" applyFill="1" applyAlignment="1">
      <alignment horizontal="center" vertical="center" wrapText="1"/>
    </xf>
    <xf numFmtId="4" fontId="9" fillId="9" borderId="0" xfId="0" applyNumberFormat="1" applyFont="1" applyFill="1" applyAlignment="1">
      <alignment horizontal="right" vertical="center" wrapText="1"/>
    </xf>
    <xf numFmtId="4" fontId="9" fillId="9" borderId="0" xfId="0" applyNumberFormat="1" applyFont="1" applyFill="1" applyAlignment="1">
      <alignment horizontal="left" vertical="center" wrapText="1"/>
    </xf>
    <xf numFmtId="4" fontId="0" fillId="9" borderId="0" xfId="0" applyNumberFormat="1" applyFill="1" applyAlignment="1">
      <alignment wrapText="1"/>
    </xf>
    <xf numFmtId="4" fontId="10" fillId="9" borderId="0" xfId="0" applyNumberFormat="1" applyFont="1" applyFill="1" applyAlignment="1">
      <alignment wrapText="1"/>
    </xf>
    <xf numFmtId="4" fontId="10" fillId="9" borderId="0" xfId="0" applyNumberFormat="1" applyFont="1" applyFill="1" applyAlignment="1">
      <alignment horizontal="left" vertical="center" wrapText="1"/>
    </xf>
    <xf numFmtId="4" fontId="9" fillId="0" borderId="0" xfId="0" applyNumberFormat="1" applyFont="1"/>
    <xf numFmtId="4" fontId="9" fillId="0" borderId="0" xfId="0" applyNumberFormat="1" applyFont="1" applyAlignment="1">
      <alignment wrapText="1"/>
    </xf>
    <xf numFmtId="4" fontId="10" fillId="0" borderId="0" xfId="0" applyNumberFormat="1" applyFont="1" applyAlignment="1">
      <alignment wrapText="1"/>
    </xf>
    <xf numFmtId="4" fontId="0" fillId="6" borderId="18" xfId="0" applyNumberFormat="1" applyFill="1" applyBorder="1" applyAlignment="1">
      <alignment horizontal="center" vertical="center" wrapText="1"/>
    </xf>
    <xf numFmtId="3" fontId="0" fillId="6" borderId="23" xfId="0" applyNumberFormat="1" applyFill="1" applyBorder="1" applyAlignment="1">
      <alignment horizontal="center" vertical="center" wrapText="1"/>
    </xf>
    <xf numFmtId="43" fontId="0" fillId="9" borderId="33" xfId="1" applyFont="1" applyFill="1" applyBorder="1"/>
    <xf numFmtId="4" fontId="0" fillId="0" borderId="16" xfId="0" applyNumberFormat="1" applyBorder="1" applyAlignment="1">
      <alignment horizontal="center" vertical="center" wrapText="1"/>
    </xf>
    <xf numFmtId="4" fontId="0" fillId="0" borderId="24" xfId="0" applyNumberFormat="1" applyBorder="1" applyAlignment="1">
      <alignment horizontal="center" vertical="center" wrapText="1"/>
    </xf>
    <xf numFmtId="0" fontId="0" fillId="0" borderId="0" xfId="0" applyAlignment="1">
      <alignment horizontal="center" vertical="center" wrapText="1"/>
    </xf>
    <xf numFmtId="0" fontId="1" fillId="0" borderId="33" xfId="0" applyFont="1" applyBorder="1" applyAlignment="1">
      <alignment horizontal="center" vertical="center" wrapText="1"/>
    </xf>
    <xf numFmtId="2" fontId="0" fillId="0" borderId="0" xfId="0" applyNumberFormat="1" applyBorder="1" applyAlignment="1">
      <alignment horizontal="center" vertical="center" wrapText="1"/>
    </xf>
    <xf numFmtId="0" fontId="0" fillId="0" borderId="31" xfId="0" applyBorder="1" applyAlignment="1">
      <alignment horizontal="center" vertical="center" wrapText="1"/>
    </xf>
    <xf numFmtId="0" fontId="1" fillId="0" borderId="31" xfId="0" applyFont="1" applyBorder="1" applyAlignment="1">
      <alignment horizontal="center" vertical="center" wrapText="1"/>
    </xf>
    <xf numFmtId="0" fontId="0" fillId="0" borderId="25" xfId="0" applyBorder="1" applyAlignment="1">
      <alignment horizontal="center" vertical="center" wrapText="1"/>
    </xf>
    <xf numFmtId="0" fontId="0" fillId="0" borderId="28" xfId="0" applyBorder="1" applyAlignment="1">
      <alignment horizontal="center" vertical="center" wrapText="1"/>
    </xf>
    <xf numFmtId="0" fontId="0" fillId="0" borderId="27" xfId="0" applyBorder="1" applyAlignment="1">
      <alignment horizontal="center" vertical="center" wrapText="1"/>
    </xf>
    <xf numFmtId="3" fontId="0" fillId="6" borderId="15" xfId="0" applyNumberFormat="1" applyFill="1" applyBorder="1" applyAlignment="1">
      <alignment horizontal="center" vertical="center" wrapText="1"/>
    </xf>
    <xf numFmtId="0" fontId="0" fillId="0" borderId="0" xfId="0" applyBorder="1" applyAlignment="1">
      <alignment vertical="center" wrapText="1"/>
    </xf>
    <xf numFmtId="3" fontId="0" fillId="0" borderId="0" xfId="0" applyNumberFormat="1"/>
    <xf numFmtId="0" fontId="1" fillId="0" borderId="0" xfId="0" applyFont="1" applyBorder="1" applyAlignment="1">
      <alignment vertical="center" wrapText="1"/>
    </xf>
    <xf numFmtId="0" fontId="1" fillId="0" borderId="33" xfId="0" applyFont="1" applyBorder="1" applyAlignment="1">
      <alignment horizontal="center"/>
    </xf>
    <xf numFmtId="43" fontId="0" fillId="6" borderId="33" xfId="1" applyFont="1" applyFill="1" applyBorder="1" applyAlignment="1">
      <alignment horizontal="center" vertical="center" wrapText="1"/>
    </xf>
    <xf numFmtId="43" fontId="0" fillId="6" borderId="33" xfId="1" applyFont="1" applyFill="1" applyBorder="1"/>
    <xf numFmtId="0" fontId="1" fillId="0" borderId="0" xfId="0" applyFont="1" applyFill="1" applyBorder="1" applyAlignment="1">
      <alignment vertical="center" wrapText="1"/>
    </xf>
    <xf numFmtId="4" fontId="15" fillId="13" borderId="0" xfId="0" applyNumberFormat="1" applyFont="1" applyFill="1" applyAlignment="1">
      <alignment horizontal="center" vertical="center" wrapText="1"/>
    </xf>
    <xf numFmtId="4" fontId="10" fillId="9" borderId="32" xfId="0" applyNumberFormat="1" applyFont="1" applyFill="1" applyBorder="1" applyAlignment="1">
      <alignment horizontal="center" wrapText="1"/>
    </xf>
    <xf numFmtId="4" fontId="10" fillId="9" borderId="30" xfId="0" applyNumberFormat="1" applyFont="1" applyFill="1" applyBorder="1" applyAlignment="1">
      <alignment horizontal="center" wrapText="1"/>
    </xf>
    <xf numFmtId="4" fontId="10" fillId="9" borderId="31" xfId="0" applyNumberFormat="1" applyFont="1" applyFill="1" applyBorder="1" applyAlignment="1">
      <alignment horizontal="center" wrapText="1"/>
    </xf>
    <xf numFmtId="4" fontId="10" fillId="9" borderId="28" xfId="0" applyNumberFormat="1" applyFont="1" applyFill="1" applyBorder="1" applyAlignment="1">
      <alignment horizontal="center" wrapText="1"/>
    </xf>
    <xf numFmtId="0" fontId="12" fillId="6" borderId="32" xfId="0" applyFont="1" applyFill="1" applyBorder="1" applyAlignment="1">
      <alignment horizontal="center" vertical="center" wrapText="1"/>
    </xf>
    <xf numFmtId="0" fontId="12" fillId="6" borderId="29" xfId="0" applyFont="1" applyFill="1" applyBorder="1" applyAlignment="1">
      <alignment horizontal="center" vertical="center" wrapText="1"/>
    </xf>
    <xf numFmtId="0" fontId="12" fillId="6" borderId="30" xfId="0" applyFont="1" applyFill="1" applyBorder="1" applyAlignment="1">
      <alignment horizontal="center" vertical="center" wrapText="1"/>
    </xf>
    <xf numFmtId="0" fontId="12" fillId="6" borderId="31" xfId="0" applyFont="1" applyFill="1" applyBorder="1" applyAlignment="1">
      <alignment horizontal="center" vertical="center" wrapText="1"/>
    </xf>
    <xf numFmtId="0" fontId="12" fillId="6" borderId="0" xfId="0" applyFont="1" applyFill="1" applyAlignment="1">
      <alignment horizontal="center" vertical="center" wrapText="1"/>
    </xf>
    <xf numFmtId="0" fontId="12" fillId="6" borderId="28" xfId="0" applyFont="1" applyFill="1" applyBorder="1" applyAlignment="1">
      <alignment horizontal="center" vertical="center" wrapText="1"/>
    </xf>
    <xf numFmtId="0" fontId="12" fillId="6" borderId="25" xfId="0" applyFont="1" applyFill="1" applyBorder="1" applyAlignment="1">
      <alignment horizontal="center" vertical="center" wrapText="1"/>
    </xf>
    <xf numFmtId="0" fontId="12" fillId="6" borderId="26" xfId="0" applyFont="1" applyFill="1" applyBorder="1" applyAlignment="1">
      <alignment horizontal="center" vertical="center" wrapText="1"/>
    </xf>
    <xf numFmtId="0" fontId="12" fillId="6" borderId="27" xfId="0" applyFont="1" applyFill="1" applyBorder="1" applyAlignment="1">
      <alignment horizontal="center" vertical="center" wrapText="1"/>
    </xf>
    <xf numFmtId="0" fontId="9" fillId="9" borderId="32" xfId="0" applyFont="1" applyFill="1" applyBorder="1" applyAlignment="1">
      <alignment horizontal="center" vertical="center"/>
    </xf>
    <xf numFmtId="0" fontId="9" fillId="9" borderId="30" xfId="0" applyFont="1" applyFill="1" applyBorder="1" applyAlignment="1">
      <alignment horizontal="center" vertical="center"/>
    </xf>
    <xf numFmtId="0" fontId="9" fillId="9" borderId="25" xfId="0" applyFont="1" applyFill="1" applyBorder="1" applyAlignment="1">
      <alignment horizontal="center" vertical="center"/>
    </xf>
    <xf numFmtId="0" fontId="9" fillId="9" borderId="27" xfId="0" applyFont="1" applyFill="1" applyBorder="1" applyAlignment="1">
      <alignment horizontal="center" vertical="center"/>
    </xf>
    <xf numFmtId="1" fontId="9" fillId="7" borderId="32" xfId="0" applyNumberFormat="1" applyFont="1" applyFill="1" applyBorder="1" applyAlignment="1">
      <alignment horizontal="center" vertical="center"/>
    </xf>
    <xf numFmtId="1" fontId="9" fillId="7" borderId="30" xfId="0" applyNumberFormat="1" applyFont="1" applyFill="1" applyBorder="1" applyAlignment="1">
      <alignment horizontal="center" vertical="center"/>
    </xf>
    <xf numFmtId="1" fontId="9" fillId="7" borderId="25" xfId="0" applyNumberFormat="1" applyFont="1" applyFill="1" applyBorder="1" applyAlignment="1">
      <alignment horizontal="center" vertical="center"/>
    </xf>
    <xf numFmtId="1" fontId="9" fillId="7" borderId="27" xfId="0" applyNumberFormat="1" applyFont="1" applyFill="1" applyBorder="1" applyAlignment="1">
      <alignment horizontal="center" vertical="center"/>
    </xf>
    <xf numFmtId="4" fontId="10" fillId="9" borderId="18" xfId="0" applyNumberFormat="1" applyFont="1" applyFill="1" applyBorder="1" applyAlignment="1">
      <alignment horizontal="center" vertical="center" wrapText="1"/>
    </xf>
    <xf numFmtId="4" fontId="10" fillId="9" borderId="35" xfId="0" applyNumberFormat="1" applyFont="1" applyFill="1" applyBorder="1" applyAlignment="1">
      <alignment horizontal="center" vertical="center" wrapText="1"/>
    </xf>
    <xf numFmtId="4" fontId="10" fillId="9" borderId="19" xfId="0" applyNumberFormat="1" applyFont="1" applyFill="1" applyBorder="1" applyAlignment="1">
      <alignment horizontal="center" vertical="center" wrapText="1"/>
    </xf>
    <xf numFmtId="4" fontId="10" fillId="9" borderId="22" xfId="0" applyNumberFormat="1" applyFont="1" applyFill="1" applyBorder="1" applyAlignment="1">
      <alignment horizontal="center" vertical="center" wrapText="1"/>
    </xf>
    <xf numFmtId="4" fontId="10" fillId="9" borderId="0" xfId="0" applyNumberFormat="1" applyFont="1" applyFill="1" applyAlignment="1">
      <alignment horizontal="center" vertical="center" wrapText="1"/>
    </xf>
    <xf numFmtId="4" fontId="10" fillId="9" borderId="23" xfId="0" applyNumberFormat="1" applyFont="1" applyFill="1" applyBorder="1" applyAlignment="1">
      <alignment horizontal="center" vertical="center" wrapText="1"/>
    </xf>
    <xf numFmtId="4" fontId="10" fillId="9" borderId="20" xfId="0" applyNumberFormat="1" applyFont="1" applyFill="1" applyBorder="1" applyAlignment="1">
      <alignment horizontal="center" vertical="center" wrapText="1"/>
    </xf>
    <xf numFmtId="4" fontId="10" fillId="9" borderId="36" xfId="0" applyNumberFormat="1" applyFont="1" applyFill="1" applyBorder="1" applyAlignment="1">
      <alignment horizontal="center" vertical="center" wrapText="1"/>
    </xf>
    <xf numFmtId="4" fontId="10" fillId="9" borderId="21" xfId="0" applyNumberFormat="1" applyFont="1" applyFill="1" applyBorder="1" applyAlignment="1">
      <alignment horizontal="center" vertical="center" wrapText="1"/>
    </xf>
    <xf numFmtId="4" fontId="15" fillId="9" borderId="18" xfId="0" applyNumberFormat="1" applyFont="1" applyFill="1" applyBorder="1" applyAlignment="1">
      <alignment horizontal="center" vertical="center" wrapText="1"/>
    </xf>
    <xf numFmtId="4" fontId="15" fillId="9" borderId="35" xfId="0" applyNumberFormat="1" applyFont="1" applyFill="1" applyBorder="1" applyAlignment="1">
      <alignment horizontal="center" vertical="center" wrapText="1"/>
    </xf>
    <xf numFmtId="4" fontId="15" fillId="9" borderId="22" xfId="0" applyNumberFormat="1" applyFont="1" applyFill="1" applyBorder="1" applyAlignment="1">
      <alignment horizontal="center" vertical="center" wrapText="1"/>
    </xf>
    <xf numFmtId="4" fontId="15" fillId="9" borderId="0" xfId="0" applyNumberFormat="1" applyFont="1" applyFill="1" applyAlignment="1">
      <alignment horizontal="center" vertical="center" wrapText="1"/>
    </xf>
    <xf numFmtId="4" fontId="15" fillId="9" borderId="20" xfId="0" applyNumberFormat="1" applyFont="1" applyFill="1" applyBorder="1" applyAlignment="1">
      <alignment horizontal="center" vertical="center" wrapText="1"/>
    </xf>
    <xf numFmtId="4" fontId="15" fillId="9" borderId="36" xfId="0" applyNumberFormat="1" applyFont="1" applyFill="1" applyBorder="1" applyAlignment="1">
      <alignment horizontal="center" vertical="center" wrapText="1"/>
    </xf>
    <xf numFmtId="0" fontId="8" fillId="9" borderId="33" xfId="0" applyFont="1" applyFill="1" applyBorder="1" applyAlignment="1">
      <alignment horizontal="center" vertical="center"/>
    </xf>
    <xf numFmtId="0" fontId="9" fillId="9" borderId="0" xfId="0" quotePrefix="1" applyFont="1" applyFill="1" applyAlignment="1">
      <alignment horizontal="center"/>
    </xf>
    <xf numFmtId="0" fontId="9" fillId="9" borderId="0" xfId="0" applyFont="1" applyFill="1" applyAlignment="1">
      <alignment horizontal="center" wrapText="1"/>
    </xf>
    <xf numFmtId="0" fontId="9" fillId="9" borderId="0" xfId="0" applyFont="1" applyFill="1" applyAlignment="1">
      <alignment horizontal="center"/>
    </xf>
    <xf numFmtId="0" fontId="9" fillId="9" borderId="0" xfId="0" applyFont="1" applyFill="1" applyAlignment="1">
      <alignment horizontal="center" vertical="center" wrapText="1"/>
    </xf>
    <xf numFmtId="4" fontId="10" fillId="9" borderId="0" xfId="0" applyNumberFormat="1" applyFont="1" applyFill="1" applyAlignment="1">
      <alignment horizontal="center" wrapText="1"/>
    </xf>
    <xf numFmtId="0" fontId="15" fillId="9" borderId="0" xfId="0" quotePrefix="1" applyFont="1" applyFill="1" applyAlignment="1">
      <alignment horizontal="center"/>
    </xf>
    <xf numFmtId="4" fontId="9" fillId="3" borderId="0" xfId="0" applyNumberFormat="1" applyFont="1" applyFill="1" applyAlignment="1">
      <alignment horizontal="center" vertical="center" wrapText="1"/>
    </xf>
    <xf numFmtId="4" fontId="15" fillId="11" borderId="0" xfId="0" applyNumberFormat="1" applyFont="1" applyFill="1" applyAlignment="1">
      <alignment horizontal="center" vertical="center" wrapText="1"/>
    </xf>
    <xf numFmtId="4" fontId="15" fillId="6" borderId="0" xfId="0" applyNumberFormat="1" applyFont="1" applyFill="1" applyAlignment="1">
      <alignment horizontal="center" vertical="center" wrapText="1"/>
    </xf>
    <xf numFmtId="4" fontId="10" fillId="9" borderId="32" xfId="0" applyNumberFormat="1" applyFont="1" applyFill="1" applyBorder="1" applyAlignment="1">
      <alignment horizontal="center" vertical="center" wrapText="1"/>
    </xf>
    <xf numFmtId="4" fontId="10" fillId="9" borderId="30" xfId="0" applyNumberFormat="1" applyFont="1" applyFill="1" applyBorder="1" applyAlignment="1">
      <alignment horizontal="center" vertical="center" wrapText="1"/>
    </xf>
    <xf numFmtId="4" fontId="10" fillId="9" borderId="31" xfId="0" applyNumberFormat="1" applyFont="1" applyFill="1" applyBorder="1" applyAlignment="1">
      <alignment horizontal="center" vertical="center" wrapText="1"/>
    </xf>
    <xf numFmtId="4" fontId="10" fillId="9" borderId="28" xfId="0" applyNumberFormat="1" applyFont="1" applyFill="1" applyBorder="1" applyAlignment="1">
      <alignment horizontal="center" vertical="center" wrapText="1"/>
    </xf>
    <xf numFmtId="4" fontId="9" fillId="14" borderId="0" xfId="0" applyNumberFormat="1" applyFont="1" applyFill="1" applyAlignment="1">
      <alignment horizontal="center" vertical="center" wrapText="1"/>
    </xf>
    <xf numFmtId="0" fontId="14" fillId="9" borderId="33" xfId="0" applyFont="1" applyFill="1" applyBorder="1" applyAlignment="1">
      <alignment horizontal="center" vertical="center"/>
    </xf>
    <xf numFmtId="4" fontId="9" fillId="9" borderId="19" xfId="0" applyNumberFormat="1" applyFont="1" applyFill="1" applyBorder="1" applyAlignment="1">
      <alignment horizontal="center" vertical="center" wrapText="1"/>
    </xf>
    <xf numFmtId="4" fontId="9" fillId="9" borderId="23" xfId="0" applyNumberFormat="1" applyFont="1" applyFill="1" applyBorder="1" applyAlignment="1">
      <alignment horizontal="center" vertical="center" wrapText="1"/>
    </xf>
    <xf numFmtId="4" fontId="9" fillId="9" borderId="21" xfId="0" applyNumberFormat="1" applyFont="1" applyFill="1" applyBorder="1" applyAlignment="1">
      <alignment horizontal="center" vertical="center" wrapText="1"/>
    </xf>
    <xf numFmtId="4" fontId="18" fillId="10" borderId="0" xfId="0" applyNumberFormat="1" applyFont="1" applyFill="1" applyAlignment="1">
      <alignment horizontal="center" vertical="center" wrapText="1"/>
    </xf>
    <xf numFmtId="4" fontId="15" fillId="8" borderId="0" xfId="0" applyNumberFormat="1" applyFont="1" applyFill="1" applyAlignment="1">
      <alignment horizontal="center" vertical="center" wrapText="1"/>
    </xf>
    <xf numFmtId="0" fontId="15" fillId="9" borderId="0" xfId="0" applyFont="1" applyFill="1" applyAlignment="1">
      <alignment horizontal="center" vertical="center" wrapText="1"/>
    </xf>
    <xf numFmtId="0" fontId="11" fillId="9" borderId="0" xfId="0" applyFont="1" applyFill="1" applyAlignment="1">
      <alignment horizontal="center" vertical="top"/>
    </xf>
    <xf numFmtId="4" fontId="18" fillId="12" borderId="0" xfId="0" applyNumberFormat="1" applyFont="1" applyFill="1" applyAlignment="1">
      <alignment horizontal="center" vertical="center" wrapText="1"/>
    </xf>
    <xf numFmtId="4" fontId="15" fillId="15" borderId="0" xfId="0" applyNumberFormat="1" applyFont="1" applyFill="1" applyAlignment="1">
      <alignment horizontal="center" vertical="center"/>
    </xf>
    <xf numFmtId="4" fontId="9" fillId="0" borderId="23" xfId="0" applyNumberFormat="1" applyFont="1" applyBorder="1" applyAlignment="1">
      <alignment horizontal="center"/>
    </xf>
    <xf numFmtId="4" fontId="18" fillId="0" borderId="0" xfId="0" applyNumberFormat="1" applyFont="1" applyAlignment="1">
      <alignment horizontal="center" vertical="center" wrapText="1"/>
    </xf>
    <xf numFmtId="0" fontId="1" fillId="0" borderId="33" xfId="0" applyFont="1"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1" fillId="0" borderId="0" xfId="0" applyFont="1" applyAlignment="1">
      <alignment horizontal="left"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0" fillId="0" borderId="7" xfId="0"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7" xfId="0" applyBorder="1" applyAlignment="1">
      <alignment horizontal="center" vertical="center" textRotation="255" wrapText="1"/>
    </xf>
    <xf numFmtId="0" fontId="0" fillId="0" borderId="9" xfId="0" applyBorder="1" applyAlignment="1">
      <alignment horizontal="center" vertical="center" textRotation="255"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1" fillId="5" borderId="1" xfId="0" applyFont="1" applyFill="1" applyBorder="1" applyAlignment="1">
      <alignment horizontal="center" vertical="center" wrapText="1"/>
    </xf>
    <xf numFmtId="0" fontId="1" fillId="0" borderId="7" xfId="0" applyFont="1" applyBorder="1" applyAlignment="1">
      <alignment horizontal="center" vertical="center" wrapText="1"/>
    </xf>
    <xf numFmtId="0" fontId="1" fillId="0" borderId="0" xfId="0" applyFont="1" applyAlignment="1">
      <alignment horizontal="center" vertical="center" wrapText="1"/>
    </xf>
    <xf numFmtId="0" fontId="1" fillId="0" borderId="8" xfId="0" applyFont="1" applyBorder="1" applyAlignment="1">
      <alignment horizontal="center" vertical="center" wrapText="1"/>
    </xf>
    <xf numFmtId="0" fontId="0" fillId="0" borderId="9" xfId="0" applyBorder="1" applyAlignment="1">
      <alignment horizontal="center" vertical="center" wrapText="1"/>
    </xf>
    <xf numFmtId="0" fontId="0" fillId="0" borderId="3" xfId="0" applyBorder="1" applyAlignment="1">
      <alignment horizontal="center" vertical="center" wrapText="1"/>
    </xf>
    <xf numFmtId="0" fontId="0" fillId="0" borderId="43" xfId="0" applyBorder="1" applyAlignment="1">
      <alignment horizontal="center"/>
    </xf>
    <xf numFmtId="0" fontId="0" fillId="0" borderId="38" xfId="0" applyBorder="1" applyAlignment="1">
      <alignment horizontal="center"/>
    </xf>
    <xf numFmtId="0" fontId="0" fillId="0" borderId="39" xfId="0" applyBorder="1" applyAlignment="1">
      <alignment horizontal="center"/>
    </xf>
    <xf numFmtId="0" fontId="0" fillId="0" borderId="44" xfId="0" applyBorder="1" applyAlignment="1">
      <alignment horizontal="center"/>
    </xf>
    <xf numFmtId="0" fontId="1" fillId="0" borderId="38" xfId="0" applyFont="1" applyBorder="1" applyAlignment="1">
      <alignment horizontal="center"/>
    </xf>
    <xf numFmtId="0" fontId="1" fillId="0" borderId="39" xfId="0" applyFont="1" applyBorder="1" applyAlignment="1">
      <alignment horizontal="center"/>
    </xf>
    <xf numFmtId="0" fontId="0" fillId="0" borderId="43" xfId="0" applyBorder="1" applyAlignment="1">
      <alignment horizontal="center" vertical="center"/>
    </xf>
    <xf numFmtId="0" fontId="0" fillId="0" borderId="38" xfId="0" applyBorder="1" applyAlignment="1">
      <alignment horizontal="center" vertical="center"/>
    </xf>
    <xf numFmtId="0" fontId="0" fillId="0" borderId="44" xfId="0" applyBorder="1" applyAlignment="1">
      <alignment horizontal="center" vertical="center"/>
    </xf>
    <xf numFmtId="0" fontId="0" fillId="0" borderId="39" xfId="0" applyBorder="1" applyAlignment="1">
      <alignment horizontal="center" vertical="center"/>
    </xf>
    <xf numFmtId="0" fontId="1" fillId="0" borderId="37" xfId="0" applyFont="1" applyBorder="1" applyAlignment="1">
      <alignment horizontal="center" vertical="center"/>
    </xf>
    <xf numFmtId="0" fontId="1" fillId="0" borderId="44" xfId="0" applyFont="1" applyBorder="1" applyAlignment="1">
      <alignment horizontal="center" vertical="center"/>
    </xf>
    <xf numFmtId="0" fontId="1" fillId="0" borderId="33" xfId="0" applyFont="1" applyBorder="1" applyAlignment="1">
      <alignment horizontal="center" vertical="center"/>
    </xf>
    <xf numFmtId="0" fontId="7" fillId="0" borderId="33" xfId="0" applyFont="1" applyBorder="1" applyAlignment="1">
      <alignment horizontal="center" vertical="center" wrapText="1"/>
    </xf>
    <xf numFmtId="0" fontId="7" fillId="0" borderId="37" xfId="0" applyFont="1" applyBorder="1" applyAlignment="1">
      <alignment horizontal="center" vertical="center" wrapText="1"/>
    </xf>
    <xf numFmtId="0" fontId="16" fillId="0" borderId="37" xfId="0" applyFont="1" applyBorder="1" applyAlignment="1">
      <alignment horizontal="center" wrapText="1"/>
    </xf>
    <xf numFmtId="0" fontId="1" fillId="9" borderId="33" xfId="0" applyFont="1" applyFill="1" applyBorder="1" applyAlignment="1">
      <alignment horizontal="center" vertical="center"/>
    </xf>
    <xf numFmtId="0" fontId="16" fillId="0" borderId="37" xfId="0" applyFont="1" applyBorder="1" applyAlignment="1">
      <alignment horizontal="center" vertical="center"/>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 fillId="0" borderId="45" xfId="0" applyFont="1" applyBorder="1" applyAlignment="1">
      <alignment horizontal="center" vertical="center"/>
    </xf>
    <xf numFmtId="0" fontId="1" fillId="0" borderId="46" xfId="0" applyFont="1" applyBorder="1" applyAlignment="1">
      <alignment horizontal="center" vertical="center"/>
    </xf>
    <xf numFmtId="0" fontId="1" fillId="0" borderId="47" xfId="0" applyFont="1" applyBorder="1" applyAlignment="1">
      <alignment horizontal="center" vertical="center"/>
    </xf>
    <xf numFmtId="0" fontId="4" fillId="0" borderId="43" xfId="0" applyFont="1" applyBorder="1" applyAlignment="1">
      <alignment horizontal="center"/>
    </xf>
    <xf numFmtId="0" fontId="4" fillId="0" borderId="38" xfId="0" applyFont="1" applyBorder="1" applyAlignment="1">
      <alignment horizontal="center"/>
    </xf>
    <xf numFmtId="0" fontId="4" fillId="0" borderId="44" xfId="0" applyFont="1" applyBorder="1" applyAlignment="1">
      <alignment horizontal="center"/>
    </xf>
    <xf numFmtId="0" fontId="1" fillId="0" borderId="43" xfId="0" applyFont="1" applyBorder="1" applyAlignment="1">
      <alignment horizontal="center"/>
    </xf>
    <xf numFmtId="0" fontId="1" fillId="0" borderId="44" xfId="0" applyFont="1" applyBorder="1" applyAlignment="1">
      <alignment horizontal="center"/>
    </xf>
    <xf numFmtId="0" fontId="0" fillId="0" borderId="26" xfId="0" applyBorder="1" applyAlignment="1">
      <alignment horizontal="center"/>
    </xf>
    <xf numFmtId="0" fontId="0" fillId="0" borderId="37" xfId="0" applyBorder="1" applyAlignment="1">
      <alignment horizontal="center" wrapText="1"/>
    </xf>
    <xf numFmtId="0" fontId="0" fillId="0" borderId="39" xfId="0" applyBorder="1" applyAlignment="1">
      <alignment horizontal="center" wrapText="1"/>
    </xf>
    <xf numFmtId="0" fontId="1" fillId="8" borderId="33" xfId="0" applyFont="1" applyFill="1" applyBorder="1" applyAlignment="1">
      <alignment horizontal="center"/>
    </xf>
    <xf numFmtId="0" fontId="0" fillId="9" borderId="37" xfId="0" applyFill="1" applyBorder="1" applyAlignment="1">
      <alignment horizontal="center"/>
    </xf>
    <xf numFmtId="0" fontId="0" fillId="9" borderId="39" xfId="0" applyFill="1" applyBorder="1" applyAlignment="1">
      <alignment horizontal="center"/>
    </xf>
    <xf numFmtId="43" fontId="0" fillId="0" borderId="37" xfId="1" applyFont="1" applyBorder="1" applyAlignment="1">
      <alignment horizontal="center" wrapText="1"/>
    </xf>
    <xf numFmtId="43" fontId="0" fillId="0" borderId="39" xfId="1" applyFont="1" applyBorder="1" applyAlignment="1">
      <alignment horizontal="center" wrapText="1"/>
    </xf>
    <xf numFmtId="0" fontId="0" fillId="0" borderId="49" xfId="0" applyBorder="1" applyAlignment="1">
      <alignment horizontal="center" vertical="center" wrapText="1"/>
    </xf>
    <xf numFmtId="4" fontId="0" fillId="6" borderId="50" xfId="0" applyNumberFormat="1" applyFill="1" applyBorder="1" applyAlignment="1">
      <alignment horizontal="center" vertical="center" wrapText="1"/>
    </xf>
    <xf numFmtId="0" fontId="0" fillId="6" borderId="26" xfId="0" applyFill="1" applyBorder="1" applyAlignment="1">
      <alignment horizontal="center" vertical="center" wrapText="1"/>
    </xf>
    <xf numFmtId="3" fontId="0" fillId="0" borderId="50" xfId="1" applyNumberFormat="1" applyFont="1" applyBorder="1" applyAlignment="1">
      <alignment horizontal="center" vertical="center" wrapText="1"/>
    </xf>
    <xf numFmtId="3" fontId="0" fillId="0" borderId="26" xfId="0" applyNumberFormat="1" applyFont="1" applyBorder="1" applyAlignment="1">
      <alignment horizontal="center" vertical="center" wrapText="1"/>
    </xf>
    <xf numFmtId="0" fontId="0" fillId="0" borderId="26" xfId="0" applyFont="1" applyBorder="1" applyAlignment="1">
      <alignment horizontal="center" vertical="center" wrapText="1"/>
    </xf>
  </cellXfs>
  <cellStyles count="2">
    <cellStyle name="Comma" xfId="1" builtinId="3"/>
    <cellStyle name="Normal" xfId="0" builtinId="0"/>
  </cellStyles>
  <dxfs count="10">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colors>
    <mruColors>
      <color rgb="FF521B93"/>
      <color rgb="FF42CCBA"/>
      <color rgb="FFFF85FF"/>
      <color rgb="FFFF4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square"/>
            <c:size val="9"/>
            <c:spPr>
              <a:solidFill>
                <a:schemeClr val="accent1"/>
              </a:solidFill>
              <a:ln w="9525">
                <a:noFill/>
                <a:round/>
              </a:ln>
              <a:effectLst/>
            </c:spPr>
          </c:marker>
          <c:xVal>
            <c:numRef>
              <c:f>Simulator!$T$25:$T$34</c:f>
              <c:numCache>
                <c:formatCode>_(* #,##0.00_);_(* \(#,##0.00\);_(* "-"??_);_(@_)</c:formatCode>
                <c:ptCount val="10"/>
              </c:numCache>
            </c:numRef>
          </c:xVal>
          <c:yVal>
            <c:numRef>
              <c:f>Simulator!$U$25:$U$34</c:f>
              <c:numCache>
                <c:formatCode>_(* #,##0.00_);_(* \(#,##0.00\);_(* "-"??_);_(@_)</c:formatCode>
                <c:ptCount val="10"/>
              </c:numCache>
            </c:numRef>
          </c:yVal>
          <c:smooth val="0"/>
          <c:extLst>
            <c:ext xmlns:c16="http://schemas.microsoft.com/office/drawing/2014/chart" uri="{C3380CC4-5D6E-409C-BE32-E72D297353CC}">
              <c16:uniqueId val="{00000000-598B-A746-BC0A-1858FA7A49D0}"/>
            </c:ext>
          </c:extLst>
        </c:ser>
        <c:dLbls>
          <c:showLegendKey val="0"/>
          <c:showVal val="0"/>
          <c:showCatName val="0"/>
          <c:showSerName val="0"/>
          <c:showPercent val="0"/>
          <c:showBubbleSize val="0"/>
        </c:dLbls>
        <c:axId val="1570267263"/>
        <c:axId val="1634782751"/>
      </c:scatterChart>
      <c:valAx>
        <c:axId val="157026726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GB" sz="2000" b="1"/>
                  <a:t>Profit</a:t>
                </a:r>
              </a:p>
            </c:rich>
          </c:tx>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634782751"/>
        <c:crosses val="autoZero"/>
        <c:crossBetween val="midCat"/>
      </c:valAx>
      <c:valAx>
        <c:axId val="16347827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sz="2000" b="1"/>
                  <a:t>C O</a:t>
                </a:r>
                <a:r>
                  <a:rPr lang="en-GB" sz="1400" b="1"/>
                  <a:t>2</a:t>
                </a:r>
                <a:r>
                  <a:rPr lang="en-GB" sz="2000" b="1" baseline="0"/>
                  <a:t> emissions</a:t>
                </a:r>
                <a:endParaRPr lang="en-GB" sz="2000"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5702672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0</xdr:colOff>
      <xdr:row>43</xdr:row>
      <xdr:rowOff>0</xdr:rowOff>
    </xdr:from>
    <xdr:to>
      <xdr:col>6</xdr:col>
      <xdr:colOff>12700</xdr:colOff>
      <xdr:row>43</xdr:row>
      <xdr:rowOff>1</xdr:rowOff>
    </xdr:to>
    <xdr:cxnSp macro="">
      <xdr:nvCxnSpPr>
        <xdr:cNvPr id="2" name="Straight Arrow Connector 1">
          <a:extLst>
            <a:ext uri="{FF2B5EF4-FFF2-40B4-BE49-F238E27FC236}">
              <a16:creationId xmlns:a16="http://schemas.microsoft.com/office/drawing/2014/main" id="{00000000-0008-0000-0000-000002000000}"/>
            </a:ext>
          </a:extLst>
        </xdr:cNvPr>
        <xdr:cNvCxnSpPr/>
      </xdr:nvCxnSpPr>
      <xdr:spPr>
        <a:xfrm flipV="1">
          <a:off x="4140200" y="8216900"/>
          <a:ext cx="838200" cy="1"/>
        </a:xfrm>
        <a:prstGeom prst="straightConnector1">
          <a:avLst/>
        </a:prstGeom>
        <a:ln w="19050">
          <a:solidFill>
            <a:schemeClr val="accent4"/>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13229</xdr:colOff>
      <xdr:row>37</xdr:row>
      <xdr:rowOff>169334</xdr:rowOff>
    </xdr:from>
    <xdr:to>
      <xdr:col>9</xdr:col>
      <xdr:colOff>16933</xdr:colOff>
      <xdr:row>41</xdr:row>
      <xdr:rowOff>13230</xdr:rowOff>
    </xdr:to>
    <xdr:cxnSp macro="">
      <xdr:nvCxnSpPr>
        <xdr:cNvPr id="3" name="Elbow Connector 2">
          <a:extLst>
            <a:ext uri="{FF2B5EF4-FFF2-40B4-BE49-F238E27FC236}">
              <a16:creationId xmlns:a16="http://schemas.microsoft.com/office/drawing/2014/main" id="{00000000-0008-0000-0000-000003000000}"/>
            </a:ext>
          </a:extLst>
        </xdr:cNvPr>
        <xdr:cNvCxnSpPr/>
      </xdr:nvCxnSpPr>
      <xdr:spPr>
        <a:xfrm flipV="1">
          <a:off x="5855229" y="7095067"/>
          <a:ext cx="1663171" cy="588963"/>
        </a:xfrm>
        <a:prstGeom prst="bentConnector3">
          <a:avLst>
            <a:gd name="adj1" fmla="val 111"/>
          </a:avLst>
        </a:prstGeom>
        <a:ln w="19050">
          <a:solidFill>
            <a:srgbClr val="FF8AD8"/>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14432</xdr:colOff>
      <xdr:row>56</xdr:row>
      <xdr:rowOff>0</xdr:rowOff>
    </xdr:from>
    <xdr:to>
      <xdr:col>9</xdr:col>
      <xdr:colOff>0</xdr:colOff>
      <xdr:row>56</xdr:row>
      <xdr:rowOff>14432</xdr:rowOff>
    </xdr:to>
    <xdr:cxnSp macro="">
      <xdr:nvCxnSpPr>
        <xdr:cNvPr id="20" name="Straight Arrow Connector 19">
          <a:extLst>
            <a:ext uri="{FF2B5EF4-FFF2-40B4-BE49-F238E27FC236}">
              <a16:creationId xmlns:a16="http://schemas.microsoft.com/office/drawing/2014/main" id="{00000000-0008-0000-0000-000014000000}"/>
            </a:ext>
          </a:extLst>
        </xdr:cNvPr>
        <xdr:cNvCxnSpPr/>
      </xdr:nvCxnSpPr>
      <xdr:spPr>
        <a:xfrm>
          <a:off x="6624205" y="10780568"/>
          <a:ext cx="808181" cy="14432"/>
        </a:xfrm>
        <a:prstGeom prst="straightConnector1">
          <a:avLst/>
        </a:prstGeom>
        <a:ln w="19050">
          <a:solidFill>
            <a:schemeClr val="accent6">
              <a:lumMod val="40000"/>
              <a:lumOff val="60000"/>
            </a:schemeClr>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445156</xdr:colOff>
      <xdr:row>30</xdr:row>
      <xdr:rowOff>26186</xdr:rowOff>
    </xdr:from>
    <xdr:to>
      <xdr:col>10</xdr:col>
      <xdr:colOff>864125</xdr:colOff>
      <xdr:row>31</xdr:row>
      <xdr:rowOff>130928</xdr:rowOff>
    </xdr:to>
    <xdr:sp macro="" textlink="">
      <xdr:nvSpPr>
        <xdr:cNvPr id="46" name="Rectangle 45">
          <a:extLst>
            <a:ext uri="{FF2B5EF4-FFF2-40B4-BE49-F238E27FC236}">
              <a16:creationId xmlns:a16="http://schemas.microsoft.com/office/drawing/2014/main" id="{00000000-0008-0000-0000-00002E000000}"/>
            </a:ext>
          </a:extLst>
        </xdr:cNvPr>
        <xdr:cNvSpPr/>
      </xdr:nvSpPr>
      <xdr:spPr>
        <a:xfrm>
          <a:off x="8890656" y="5766586"/>
          <a:ext cx="418969" cy="295242"/>
        </a:xfrm>
        <a:prstGeom prst="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309514</xdr:colOff>
      <xdr:row>30</xdr:row>
      <xdr:rowOff>191678</xdr:rowOff>
    </xdr:from>
    <xdr:to>
      <xdr:col>13</xdr:col>
      <xdr:colOff>767761</xdr:colOff>
      <xdr:row>30</xdr:row>
      <xdr:rowOff>191678</xdr:rowOff>
    </xdr:to>
    <xdr:cxnSp macro="">
      <xdr:nvCxnSpPr>
        <xdr:cNvPr id="48" name="Straight Connector 47">
          <a:extLst>
            <a:ext uri="{FF2B5EF4-FFF2-40B4-BE49-F238E27FC236}">
              <a16:creationId xmlns:a16="http://schemas.microsoft.com/office/drawing/2014/main" id="{00000000-0008-0000-0000-000030000000}"/>
            </a:ext>
          </a:extLst>
        </xdr:cNvPr>
        <xdr:cNvCxnSpPr/>
      </xdr:nvCxnSpPr>
      <xdr:spPr>
        <a:xfrm>
          <a:off x="11549014" y="5932078"/>
          <a:ext cx="458247" cy="0"/>
        </a:xfrm>
        <a:prstGeom prst="line">
          <a:avLst/>
        </a:prstGeom>
        <a:ln w="19050">
          <a:solidFill>
            <a:schemeClr val="tx1"/>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992717</xdr:colOff>
      <xdr:row>38</xdr:row>
      <xdr:rowOff>137583</xdr:rowOff>
    </xdr:from>
    <xdr:to>
      <xdr:col>9</xdr:col>
      <xdr:colOff>992717</xdr:colOff>
      <xdr:row>41</xdr:row>
      <xdr:rowOff>2117</xdr:rowOff>
    </xdr:to>
    <xdr:cxnSp macro="">
      <xdr:nvCxnSpPr>
        <xdr:cNvPr id="8" name="Straight Arrow Connector 7">
          <a:extLst>
            <a:ext uri="{FF2B5EF4-FFF2-40B4-BE49-F238E27FC236}">
              <a16:creationId xmlns:a16="http://schemas.microsoft.com/office/drawing/2014/main" id="{00000000-0008-0000-0000-000008000000}"/>
            </a:ext>
          </a:extLst>
        </xdr:cNvPr>
        <xdr:cNvCxnSpPr/>
      </xdr:nvCxnSpPr>
      <xdr:spPr>
        <a:xfrm>
          <a:off x="8443384" y="7397750"/>
          <a:ext cx="0" cy="436034"/>
        </a:xfrm>
        <a:prstGeom prst="straightConnector1">
          <a:avLst/>
        </a:prstGeom>
        <a:ln w="19050">
          <a:solidFill>
            <a:srgbClr val="FF85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10584</xdr:colOff>
      <xdr:row>38</xdr:row>
      <xdr:rowOff>10583</xdr:rowOff>
    </xdr:from>
    <xdr:to>
      <xdr:col>13</xdr:col>
      <xdr:colOff>10583</xdr:colOff>
      <xdr:row>41</xdr:row>
      <xdr:rowOff>10583</xdr:rowOff>
    </xdr:to>
    <xdr:cxnSp macro="">
      <xdr:nvCxnSpPr>
        <xdr:cNvPr id="11" name="Elbow Connector 10">
          <a:extLst>
            <a:ext uri="{FF2B5EF4-FFF2-40B4-BE49-F238E27FC236}">
              <a16:creationId xmlns:a16="http://schemas.microsoft.com/office/drawing/2014/main" id="{00000000-0008-0000-0000-00000B000000}"/>
            </a:ext>
          </a:extLst>
        </xdr:cNvPr>
        <xdr:cNvCxnSpPr/>
      </xdr:nvCxnSpPr>
      <xdr:spPr>
        <a:xfrm>
          <a:off x="9450917" y="7270750"/>
          <a:ext cx="1799166" cy="571500"/>
        </a:xfrm>
        <a:prstGeom prst="bentConnector3">
          <a:avLst>
            <a:gd name="adj1" fmla="val 99412"/>
          </a:avLst>
        </a:prstGeom>
        <a:ln w="19050">
          <a:solidFill>
            <a:srgbClr val="FF85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355600</xdr:colOff>
      <xdr:row>46</xdr:row>
      <xdr:rowOff>0</xdr:rowOff>
    </xdr:from>
    <xdr:to>
      <xdr:col>3</xdr:col>
      <xdr:colOff>33867</xdr:colOff>
      <xdr:row>66</xdr:row>
      <xdr:rowOff>84666</xdr:rowOff>
    </xdr:to>
    <xdr:cxnSp macro="">
      <xdr:nvCxnSpPr>
        <xdr:cNvPr id="14" name="Elbow Connector 13">
          <a:extLst>
            <a:ext uri="{FF2B5EF4-FFF2-40B4-BE49-F238E27FC236}">
              <a16:creationId xmlns:a16="http://schemas.microsoft.com/office/drawing/2014/main" id="{00000000-0008-0000-0000-00000E000000}"/>
            </a:ext>
          </a:extLst>
        </xdr:cNvPr>
        <xdr:cNvCxnSpPr/>
      </xdr:nvCxnSpPr>
      <xdr:spPr>
        <a:xfrm rot="16200000" flipV="1">
          <a:off x="381000" y="10303933"/>
          <a:ext cx="3810000" cy="508000"/>
        </a:xfrm>
        <a:prstGeom prst="bentConnector3">
          <a:avLst>
            <a:gd name="adj1" fmla="val 2000"/>
          </a:avLst>
        </a:prstGeom>
        <a:ln w="19050">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355600</xdr:colOff>
      <xdr:row>45</xdr:row>
      <xdr:rowOff>0</xdr:rowOff>
    </xdr:from>
    <xdr:to>
      <xdr:col>10</xdr:col>
      <xdr:colOff>0</xdr:colOff>
      <xdr:row>46</xdr:row>
      <xdr:rowOff>16934</xdr:rowOff>
    </xdr:to>
    <xdr:cxnSp macro="">
      <xdr:nvCxnSpPr>
        <xdr:cNvPr id="21" name="Elbow Connector 20">
          <a:extLst>
            <a:ext uri="{FF2B5EF4-FFF2-40B4-BE49-F238E27FC236}">
              <a16:creationId xmlns:a16="http://schemas.microsoft.com/office/drawing/2014/main" id="{00000000-0008-0000-0000-000015000000}"/>
            </a:ext>
          </a:extLst>
        </xdr:cNvPr>
        <xdr:cNvCxnSpPr/>
      </xdr:nvCxnSpPr>
      <xdr:spPr>
        <a:xfrm flipV="1">
          <a:off x="2032000" y="8466667"/>
          <a:ext cx="6468533" cy="203200"/>
        </a:xfrm>
        <a:prstGeom prst="bentConnector3">
          <a:avLst>
            <a:gd name="adj1" fmla="val 100000"/>
          </a:avLst>
        </a:prstGeom>
        <a:ln w="19050">
          <a:solidFill>
            <a:schemeClr val="accent5">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45</xdr:row>
      <xdr:rowOff>16933</xdr:rowOff>
    </xdr:from>
    <xdr:to>
      <xdr:col>13</xdr:col>
      <xdr:colOff>0</xdr:colOff>
      <xdr:row>46</xdr:row>
      <xdr:rowOff>16933</xdr:rowOff>
    </xdr:to>
    <xdr:cxnSp macro="">
      <xdr:nvCxnSpPr>
        <xdr:cNvPr id="24" name="Elbow Connector 23">
          <a:extLst>
            <a:ext uri="{FF2B5EF4-FFF2-40B4-BE49-F238E27FC236}">
              <a16:creationId xmlns:a16="http://schemas.microsoft.com/office/drawing/2014/main" id="{00000000-0008-0000-0000-000018000000}"/>
            </a:ext>
          </a:extLst>
        </xdr:cNvPr>
        <xdr:cNvCxnSpPr/>
      </xdr:nvCxnSpPr>
      <xdr:spPr>
        <a:xfrm flipV="1">
          <a:off x="8500533" y="8483600"/>
          <a:ext cx="2810934" cy="186266"/>
        </a:xfrm>
        <a:prstGeom prst="bentConnector3">
          <a:avLst>
            <a:gd name="adj1" fmla="val 100000"/>
          </a:avLst>
        </a:prstGeom>
        <a:ln w="19050">
          <a:solidFill>
            <a:schemeClr val="accent5">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67</xdr:row>
      <xdr:rowOff>10584</xdr:rowOff>
    </xdr:from>
    <xdr:to>
      <xdr:col>4</xdr:col>
      <xdr:colOff>0</xdr:colOff>
      <xdr:row>69</xdr:row>
      <xdr:rowOff>10584</xdr:rowOff>
    </xdr:to>
    <xdr:cxnSp macro="">
      <xdr:nvCxnSpPr>
        <xdr:cNvPr id="27" name="Straight Connector 26">
          <a:extLst>
            <a:ext uri="{FF2B5EF4-FFF2-40B4-BE49-F238E27FC236}">
              <a16:creationId xmlns:a16="http://schemas.microsoft.com/office/drawing/2014/main" id="{00000000-0008-0000-0000-00001B000000}"/>
            </a:ext>
          </a:extLst>
        </xdr:cNvPr>
        <xdr:cNvCxnSpPr/>
      </xdr:nvCxnSpPr>
      <xdr:spPr>
        <a:xfrm>
          <a:off x="3312583" y="12647084"/>
          <a:ext cx="0" cy="381000"/>
        </a:xfrm>
        <a:prstGeom prst="line">
          <a:avLst/>
        </a:prstGeom>
        <a:ln w="19050">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1029729</xdr:colOff>
      <xdr:row>67</xdr:row>
      <xdr:rowOff>177526</xdr:rowOff>
    </xdr:from>
    <xdr:to>
      <xdr:col>16</xdr:col>
      <xdr:colOff>35608</xdr:colOff>
      <xdr:row>69</xdr:row>
      <xdr:rowOff>37830</xdr:rowOff>
    </xdr:to>
    <xdr:cxnSp macro="">
      <xdr:nvCxnSpPr>
        <xdr:cNvPr id="29" name="Elbow Connector 28">
          <a:extLst>
            <a:ext uri="{FF2B5EF4-FFF2-40B4-BE49-F238E27FC236}">
              <a16:creationId xmlns:a16="http://schemas.microsoft.com/office/drawing/2014/main" id="{00000000-0008-0000-0000-00001D000000}"/>
            </a:ext>
          </a:extLst>
        </xdr:cNvPr>
        <xdr:cNvCxnSpPr/>
      </xdr:nvCxnSpPr>
      <xdr:spPr>
        <a:xfrm flipV="1">
          <a:off x="3501449" y="13273548"/>
          <a:ext cx="10463191" cy="242669"/>
        </a:xfrm>
        <a:prstGeom prst="bentConnector3">
          <a:avLst>
            <a:gd name="adj1" fmla="val 99987"/>
          </a:avLst>
        </a:prstGeom>
        <a:ln w="19050">
          <a:solidFill>
            <a:schemeClr val="accent5">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830841</xdr:colOff>
      <xdr:row>68</xdr:row>
      <xdr:rowOff>11869</xdr:rowOff>
    </xdr:from>
    <xdr:to>
      <xdr:col>6</xdr:col>
      <xdr:colOff>830841</xdr:colOff>
      <xdr:row>69</xdr:row>
      <xdr:rowOff>23738</xdr:rowOff>
    </xdr:to>
    <xdr:cxnSp macro="">
      <xdr:nvCxnSpPr>
        <xdr:cNvPr id="39" name="Straight Arrow Connector 38">
          <a:extLst>
            <a:ext uri="{FF2B5EF4-FFF2-40B4-BE49-F238E27FC236}">
              <a16:creationId xmlns:a16="http://schemas.microsoft.com/office/drawing/2014/main" id="{00000000-0008-0000-0000-000027000000}"/>
            </a:ext>
          </a:extLst>
        </xdr:cNvPr>
        <xdr:cNvCxnSpPr/>
      </xdr:nvCxnSpPr>
      <xdr:spPr>
        <a:xfrm flipV="1">
          <a:off x="5827757" y="12794953"/>
          <a:ext cx="0" cy="201776"/>
        </a:xfrm>
        <a:prstGeom prst="straightConnector1">
          <a:avLst/>
        </a:prstGeom>
        <a:ln w="19050">
          <a:solidFill>
            <a:schemeClr val="accent5">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68</xdr:row>
      <xdr:rowOff>0</xdr:rowOff>
    </xdr:from>
    <xdr:to>
      <xdr:col>10</xdr:col>
      <xdr:colOff>0</xdr:colOff>
      <xdr:row>69</xdr:row>
      <xdr:rowOff>11869</xdr:rowOff>
    </xdr:to>
    <xdr:cxnSp macro="">
      <xdr:nvCxnSpPr>
        <xdr:cNvPr id="43" name="Straight Arrow Connector 42">
          <a:extLst>
            <a:ext uri="{FF2B5EF4-FFF2-40B4-BE49-F238E27FC236}">
              <a16:creationId xmlns:a16="http://schemas.microsoft.com/office/drawing/2014/main" id="{00000000-0008-0000-0000-00002B000000}"/>
            </a:ext>
          </a:extLst>
        </xdr:cNvPr>
        <xdr:cNvCxnSpPr/>
      </xdr:nvCxnSpPr>
      <xdr:spPr>
        <a:xfrm flipV="1">
          <a:off x="8426730" y="12899686"/>
          <a:ext cx="0" cy="203567"/>
        </a:xfrm>
        <a:prstGeom prst="straightConnector1">
          <a:avLst/>
        </a:prstGeom>
        <a:ln w="19050">
          <a:solidFill>
            <a:schemeClr val="accent5">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xdr:row>
      <xdr:rowOff>0</xdr:rowOff>
    </xdr:from>
    <xdr:to>
      <xdr:col>13</xdr:col>
      <xdr:colOff>0</xdr:colOff>
      <xdr:row>69</xdr:row>
      <xdr:rowOff>11869</xdr:rowOff>
    </xdr:to>
    <xdr:cxnSp macro="">
      <xdr:nvCxnSpPr>
        <xdr:cNvPr id="44" name="Straight Arrow Connector 43">
          <a:extLst>
            <a:ext uri="{FF2B5EF4-FFF2-40B4-BE49-F238E27FC236}">
              <a16:creationId xmlns:a16="http://schemas.microsoft.com/office/drawing/2014/main" id="{00000000-0008-0000-0000-00002C000000}"/>
            </a:ext>
          </a:extLst>
        </xdr:cNvPr>
        <xdr:cNvCxnSpPr/>
      </xdr:nvCxnSpPr>
      <xdr:spPr>
        <a:xfrm flipV="1">
          <a:off x="11222327" y="12899686"/>
          <a:ext cx="0" cy="203567"/>
        </a:xfrm>
        <a:prstGeom prst="straightConnector1">
          <a:avLst/>
        </a:prstGeom>
        <a:ln w="19050">
          <a:solidFill>
            <a:schemeClr val="accent5">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58</xdr:row>
      <xdr:rowOff>139560</xdr:rowOff>
    </xdr:from>
    <xdr:to>
      <xdr:col>13</xdr:col>
      <xdr:colOff>0</xdr:colOff>
      <xdr:row>63</xdr:row>
      <xdr:rowOff>184406</xdr:rowOff>
    </xdr:to>
    <xdr:cxnSp macro="">
      <xdr:nvCxnSpPr>
        <xdr:cNvPr id="52" name="Straight Arrow Connector 51">
          <a:extLst>
            <a:ext uri="{FF2B5EF4-FFF2-40B4-BE49-F238E27FC236}">
              <a16:creationId xmlns:a16="http://schemas.microsoft.com/office/drawing/2014/main" id="{00000000-0008-0000-0000-000034000000}"/>
            </a:ext>
          </a:extLst>
        </xdr:cNvPr>
        <xdr:cNvCxnSpPr/>
      </xdr:nvCxnSpPr>
      <xdr:spPr>
        <a:xfrm>
          <a:off x="11220659" y="11527692"/>
          <a:ext cx="0" cy="1021769"/>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45</xdr:row>
      <xdr:rowOff>16933</xdr:rowOff>
    </xdr:from>
    <xdr:to>
      <xdr:col>7</xdr:col>
      <xdr:colOff>0</xdr:colOff>
      <xdr:row>48</xdr:row>
      <xdr:rowOff>16933</xdr:rowOff>
    </xdr:to>
    <xdr:cxnSp macro="">
      <xdr:nvCxnSpPr>
        <xdr:cNvPr id="69" name="Straight Connector 68">
          <a:extLst>
            <a:ext uri="{FF2B5EF4-FFF2-40B4-BE49-F238E27FC236}">
              <a16:creationId xmlns:a16="http://schemas.microsoft.com/office/drawing/2014/main" id="{00000000-0008-0000-0000-000045000000}"/>
            </a:ext>
          </a:extLst>
        </xdr:cNvPr>
        <xdr:cNvCxnSpPr/>
      </xdr:nvCxnSpPr>
      <xdr:spPr>
        <a:xfrm>
          <a:off x="6153452" y="9088362"/>
          <a:ext cx="0" cy="589642"/>
        </a:xfrm>
        <a:prstGeom prst="line">
          <a:avLst/>
        </a:prstGeom>
        <a:ln w="19050">
          <a:solidFill>
            <a:schemeClr val="accent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13655</xdr:colOff>
      <xdr:row>48</xdr:row>
      <xdr:rowOff>13656</xdr:rowOff>
    </xdr:from>
    <xdr:to>
      <xdr:col>11</xdr:col>
      <xdr:colOff>33867</xdr:colOff>
      <xdr:row>48</xdr:row>
      <xdr:rowOff>33866</xdr:rowOff>
    </xdr:to>
    <xdr:cxnSp macro="">
      <xdr:nvCxnSpPr>
        <xdr:cNvPr id="71" name="Straight Connector 70">
          <a:extLst>
            <a:ext uri="{FF2B5EF4-FFF2-40B4-BE49-F238E27FC236}">
              <a16:creationId xmlns:a16="http://schemas.microsoft.com/office/drawing/2014/main" id="{00000000-0008-0000-0000-000047000000}"/>
            </a:ext>
          </a:extLst>
        </xdr:cNvPr>
        <xdr:cNvCxnSpPr/>
      </xdr:nvCxnSpPr>
      <xdr:spPr>
        <a:xfrm>
          <a:off x="6117849" y="9463548"/>
          <a:ext cx="3652685" cy="20210"/>
        </a:xfrm>
        <a:prstGeom prst="line">
          <a:avLst/>
        </a:prstGeom>
        <a:ln w="19050">
          <a:solidFill>
            <a:schemeClr val="accent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115458</xdr:colOff>
      <xdr:row>48</xdr:row>
      <xdr:rowOff>43299</xdr:rowOff>
    </xdr:from>
    <xdr:to>
      <xdr:col>12</xdr:col>
      <xdr:colOff>0</xdr:colOff>
      <xdr:row>53</xdr:row>
      <xdr:rowOff>187613</xdr:rowOff>
    </xdr:to>
    <xdr:cxnSp macro="">
      <xdr:nvCxnSpPr>
        <xdr:cNvPr id="73" name="Elbow Connector 72">
          <a:extLst>
            <a:ext uri="{FF2B5EF4-FFF2-40B4-BE49-F238E27FC236}">
              <a16:creationId xmlns:a16="http://schemas.microsoft.com/office/drawing/2014/main" id="{00000000-0008-0000-0000-000049000000}"/>
            </a:ext>
          </a:extLst>
        </xdr:cNvPr>
        <xdr:cNvCxnSpPr/>
      </xdr:nvCxnSpPr>
      <xdr:spPr>
        <a:xfrm rot="16200000" flipH="1">
          <a:off x="9423981" y="9438412"/>
          <a:ext cx="1082382" cy="851474"/>
        </a:xfrm>
        <a:prstGeom prst="bentConnector3">
          <a:avLst>
            <a:gd name="adj1" fmla="val 100667"/>
          </a:avLst>
        </a:prstGeom>
        <a:ln w="19050">
          <a:solidFill>
            <a:schemeClr val="accent2"/>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406400</xdr:colOff>
      <xdr:row>43</xdr:row>
      <xdr:rowOff>16934</xdr:rowOff>
    </xdr:from>
    <xdr:to>
      <xdr:col>9</xdr:col>
      <xdr:colOff>0</xdr:colOff>
      <xdr:row>48</xdr:row>
      <xdr:rowOff>33866</xdr:rowOff>
    </xdr:to>
    <xdr:cxnSp macro="">
      <xdr:nvCxnSpPr>
        <xdr:cNvPr id="76" name="Elbow Connector 75">
          <a:extLst>
            <a:ext uri="{FF2B5EF4-FFF2-40B4-BE49-F238E27FC236}">
              <a16:creationId xmlns:a16="http://schemas.microsoft.com/office/drawing/2014/main" id="{00000000-0008-0000-0000-00004C000000}"/>
            </a:ext>
          </a:extLst>
        </xdr:cNvPr>
        <xdr:cNvCxnSpPr/>
      </xdr:nvCxnSpPr>
      <xdr:spPr>
        <a:xfrm rot="5400000" flipH="1" flipV="1">
          <a:off x="6790267" y="8348133"/>
          <a:ext cx="999066" cy="423334"/>
        </a:xfrm>
        <a:prstGeom prst="bentConnector3">
          <a:avLst>
            <a:gd name="adj1" fmla="val 99153"/>
          </a:avLst>
        </a:prstGeom>
        <a:ln w="190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822613</xdr:colOff>
      <xdr:row>58</xdr:row>
      <xdr:rowOff>28864</xdr:rowOff>
    </xdr:from>
    <xdr:to>
      <xdr:col>6</xdr:col>
      <xdr:colOff>829734</xdr:colOff>
      <xdr:row>64</xdr:row>
      <xdr:rowOff>0</xdr:rowOff>
    </xdr:to>
    <xdr:cxnSp macro="">
      <xdr:nvCxnSpPr>
        <xdr:cNvPr id="85" name="Straight Connector 84">
          <a:extLst>
            <a:ext uri="{FF2B5EF4-FFF2-40B4-BE49-F238E27FC236}">
              <a16:creationId xmlns:a16="http://schemas.microsoft.com/office/drawing/2014/main" id="{00000000-0008-0000-0000-000055000000}"/>
            </a:ext>
          </a:extLst>
        </xdr:cNvPr>
        <xdr:cNvCxnSpPr/>
      </xdr:nvCxnSpPr>
      <xdr:spPr>
        <a:xfrm>
          <a:off x="5772727" y="11184659"/>
          <a:ext cx="7121" cy="1096818"/>
        </a:xfrm>
        <a:prstGeom prst="line">
          <a:avLst/>
        </a:prstGeom>
        <a:ln w="19050">
          <a:solidFill>
            <a:schemeClr val="accent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823406</xdr:colOff>
      <xdr:row>54</xdr:row>
      <xdr:rowOff>0</xdr:rowOff>
    </xdr:from>
    <xdr:to>
      <xdr:col>11</xdr:col>
      <xdr:colOff>129887</xdr:colOff>
      <xdr:row>62</xdr:row>
      <xdr:rowOff>97693</xdr:rowOff>
    </xdr:to>
    <xdr:cxnSp macro="">
      <xdr:nvCxnSpPr>
        <xdr:cNvPr id="90" name="Elbow Connector 89">
          <a:extLst>
            <a:ext uri="{FF2B5EF4-FFF2-40B4-BE49-F238E27FC236}">
              <a16:creationId xmlns:a16="http://schemas.microsoft.com/office/drawing/2014/main" id="{00000000-0008-0000-0000-00005A000000}"/>
            </a:ext>
          </a:extLst>
        </xdr:cNvPr>
        <xdr:cNvCxnSpPr/>
      </xdr:nvCxnSpPr>
      <xdr:spPr>
        <a:xfrm flipV="1">
          <a:off x="5773520" y="10405341"/>
          <a:ext cx="3780344" cy="1598602"/>
        </a:xfrm>
        <a:prstGeom prst="bentConnector3">
          <a:avLst>
            <a:gd name="adj1" fmla="val 99247"/>
          </a:avLst>
        </a:prstGeom>
        <a:ln w="19050">
          <a:solidFill>
            <a:schemeClr val="accent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62</xdr:row>
      <xdr:rowOff>83737</xdr:rowOff>
    </xdr:from>
    <xdr:to>
      <xdr:col>10</xdr:col>
      <xdr:colOff>0</xdr:colOff>
      <xdr:row>64</xdr:row>
      <xdr:rowOff>0</xdr:rowOff>
    </xdr:to>
    <xdr:cxnSp macro="">
      <xdr:nvCxnSpPr>
        <xdr:cNvPr id="93" name="Straight Arrow Connector 92">
          <a:extLst>
            <a:ext uri="{FF2B5EF4-FFF2-40B4-BE49-F238E27FC236}">
              <a16:creationId xmlns:a16="http://schemas.microsoft.com/office/drawing/2014/main" id="{00000000-0008-0000-0000-00005D000000}"/>
            </a:ext>
          </a:extLst>
        </xdr:cNvPr>
        <xdr:cNvCxnSpPr/>
      </xdr:nvCxnSpPr>
      <xdr:spPr>
        <a:xfrm>
          <a:off x="8429451" y="12253407"/>
          <a:ext cx="0" cy="307033"/>
        </a:xfrm>
        <a:prstGeom prst="straightConnector1">
          <a:avLst/>
        </a:prstGeom>
        <a:ln w="190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404729</xdr:colOff>
      <xdr:row>54</xdr:row>
      <xdr:rowOff>13958</xdr:rowOff>
    </xdr:from>
    <xdr:to>
      <xdr:col>15</xdr:col>
      <xdr:colOff>13956</xdr:colOff>
      <xdr:row>65</xdr:row>
      <xdr:rowOff>181428</xdr:rowOff>
    </xdr:to>
    <xdr:cxnSp macro="">
      <xdr:nvCxnSpPr>
        <xdr:cNvPr id="95" name="Elbow Connector 94">
          <a:extLst>
            <a:ext uri="{FF2B5EF4-FFF2-40B4-BE49-F238E27FC236}">
              <a16:creationId xmlns:a16="http://schemas.microsoft.com/office/drawing/2014/main" id="{00000000-0008-0000-0000-00005F000000}"/>
            </a:ext>
          </a:extLst>
        </xdr:cNvPr>
        <xdr:cNvCxnSpPr/>
      </xdr:nvCxnSpPr>
      <xdr:spPr>
        <a:xfrm rot="16200000" flipH="1">
          <a:off x="11506761" y="11562585"/>
          <a:ext cx="2316701" cy="432634"/>
        </a:xfrm>
        <a:prstGeom prst="bentConnector3">
          <a:avLst>
            <a:gd name="adj1" fmla="val 100602"/>
          </a:avLst>
        </a:prstGeom>
        <a:ln w="19050">
          <a:solidFill>
            <a:schemeClr val="accent2"/>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54</xdr:row>
      <xdr:rowOff>0</xdr:rowOff>
    </xdr:from>
    <xdr:to>
      <xdr:col>14</xdr:col>
      <xdr:colOff>418681</xdr:colOff>
      <xdr:row>54</xdr:row>
      <xdr:rowOff>0</xdr:rowOff>
    </xdr:to>
    <xdr:cxnSp macro="">
      <xdr:nvCxnSpPr>
        <xdr:cNvPr id="101" name="Straight Connector 100">
          <a:extLst>
            <a:ext uri="{FF2B5EF4-FFF2-40B4-BE49-F238E27FC236}">
              <a16:creationId xmlns:a16="http://schemas.microsoft.com/office/drawing/2014/main" id="{00000000-0008-0000-0000-000065000000}"/>
            </a:ext>
          </a:extLst>
        </xdr:cNvPr>
        <xdr:cNvCxnSpPr/>
      </xdr:nvCxnSpPr>
      <xdr:spPr>
        <a:xfrm>
          <a:off x="12044066" y="10606593"/>
          <a:ext cx="418681" cy="0"/>
        </a:xfrm>
        <a:prstGeom prst="line">
          <a:avLst/>
        </a:prstGeom>
        <a:ln w="19050">
          <a:solidFill>
            <a:schemeClr val="accent2"/>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404725</xdr:colOff>
      <xdr:row>56</xdr:row>
      <xdr:rowOff>0</xdr:rowOff>
    </xdr:from>
    <xdr:to>
      <xdr:col>15</xdr:col>
      <xdr:colOff>0</xdr:colOff>
      <xdr:row>56</xdr:row>
      <xdr:rowOff>0</xdr:rowOff>
    </xdr:to>
    <xdr:cxnSp macro="">
      <xdr:nvCxnSpPr>
        <xdr:cNvPr id="103" name="Straight Arrow Connector 102">
          <a:extLst>
            <a:ext uri="{FF2B5EF4-FFF2-40B4-BE49-F238E27FC236}">
              <a16:creationId xmlns:a16="http://schemas.microsoft.com/office/drawing/2014/main" id="{00000000-0008-0000-0000-000067000000}"/>
            </a:ext>
          </a:extLst>
        </xdr:cNvPr>
        <xdr:cNvCxnSpPr/>
      </xdr:nvCxnSpPr>
      <xdr:spPr>
        <a:xfrm>
          <a:off x="12448791" y="10997363"/>
          <a:ext cx="418682" cy="0"/>
        </a:xfrm>
        <a:prstGeom prst="straightConnector1">
          <a:avLst/>
        </a:prstGeom>
        <a:ln w="19050">
          <a:solidFill>
            <a:schemeClr val="accent2"/>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43</xdr:row>
      <xdr:rowOff>0</xdr:rowOff>
    </xdr:from>
    <xdr:to>
      <xdr:col>16</xdr:col>
      <xdr:colOff>0</xdr:colOff>
      <xdr:row>46</xdr:row>
      <xdr:rowOff>0</xdr:rowOff>
    </xdr:to>
    <xdr:cxnSp macro="">
      <xdr:nvCxnSpPr>
        <xdr:cNvPr id="108" name="Elbow Connector 107">
          <a:extLst>
            <a:ext uri="{FF2B5EF4-FFF2-40B4-BE49-F238E27FC236}">
              <a16:creationId xmlns:a16="http://schemas.microsoft.com/office/drawing/2014/main" id="{00000000-0008-0000-0000-00006C000000}"/>
            </a:ext>
          </a:extLst>
        </xdr:cNvPr>
        <xdr:cNvCxnSpPr/>
      </xdr:nvCxnSpPr>
      <xdr:spPr>
        <a:xfrm>
          <a:off x="12112388" y="8188657"/>
          <a:ext cx="1668060" cy="606567"/>
        </a:xfrm>
        <a:prstGeom prst="bentConnector3">
          <a:avLst>
            <a:gd name="adj1" fmla="val 100000"/>
          </a:avLst>
        </a:prstGeom>
        <a:ln w="19050">
          <a:solidFill>
            <a:schemeClr val="accent5">
              <a:lumMod val="60000"/>
              <a:lumOff val="40000"/>
            </a:schemeClr>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18955</xdr:colOff>
      <xdr:row>48</xdr:row>
      <xdr:rowOff>18956</xdr:rowOff>
    </xdr:from>
    <xdr:to>
      <xdr:col>16</xdr:col>
      <xdr:colOff>18955</xdr:colOff>
      <xdr:row>54</xdr:row>
      <xdr:rowOff>18955</xdr:rowOff>
    </xdr:to>
    <xdr:cxnSp macro="">
      <xdr:nvCxnSpPr>
        <xdr:cNvPr id="111" name="Straight Arrow Connector 110">
          <a:extLst>
            <a:ext uri="{FF2B5EF4-FFF2-40B4-BE49-F238E27FC236}">
              <a16:creationId xmlns:a16="http://schemas.microsoft.com/office/drawing/2014/main" id="{00000000-0008-0000-0000-00006F000000}"/>
            </a:ext>
          </a:extLst>
        </xdr:cNvPr>
        <xdr:cNvCxnSpPr/>
      </xdr:nvCxnSpPr>
      <xdr:spPr>
        <a:xfrm flipV="1">
          <a:off x="13799403" y="9193284"/>
          <a:ext cx="0" cy="1137313"/>
        </a:xfrm>
        <a:prstGeom prst="straightConnector1">
          <a:avLst/>
        </a:prstGeom>
        <a:ln w="19050">
          <a:solidFill>
            <a:schemeClr val="accent5">
              <a:lumMod val="60000"/>
              <a:lumOff val="40000"/>
            </a:schemeClr>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303284</xdr:colOff>
      <xdr:row>49</xdr:row>
      <xdr:rowOff>170597</xdr:rowOff>
    </xdr:from>
    <xdr:to>
      <xdr:col>10</xdr:col>
      <xdr:colOff>23506</xdr:colOff>
      <xdr:row>71</xdr:row>
      <xdr:rowOff>4549</xdr:rowOff>
    </xdr:to>
    <xdr:cxnSp macro="">
      <xdr:nvCxnSpPr>
        <xdr:cNvPr id="121" name="Elbow Connector 120">
          <a:extLst>
            <a:ext uri="{FF2B5EF4-FFF2-40B4-BE49-F238E27FC236}">
              <a16:creationId xmlns:a16="http://schemas.microsoft.com/office/drawing/2014/main" id="{00000000-0008-0000-0000-000079000000}"/>
            </a:ext>
          </a:extLst>
        </xdr:cNvPr>
        <xdr:cNvCxnSpPr/>
      </xdr:nvCxnSpPr>
      <xdr:spPr>
        <a:xfrm>
          <a:off x="4473433" y="9534478"/>
          <a:ext cx="4042013" cy="4004101"/>
        </a:xfrm>
        <a:prstGeom prst="bentConnector3">
          <a:avLst>
            <a:gd name="adj1" fmla="val 291"/>
          </a:avLst>
        </a:prstGeom>
        <a:ln w="19050">
          <a:solidFill>
            <a:srgbClr val="42CCBA"/>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322239</xdr:colOff>
      <xdr:row>45</xdr:row>
      <xdr:rowOff>18954</xdr:rowOff>
    </xdr:from>
    <xdr:to>
      <xdr:col>9</xdr:col>
      <xdr:colOff>739253</xdr:colOff>
      <xdr:row>49</xdr:row>
      <xdr:rowOff>170596</xdr:rowOff>
    </xdr:to>
    <xdr:cxnSp macro="">
      <xdr:nvCxnSpPr>
        <xdr:cNvPr id="126" name="Elbow Connector 125">
          <a:extLst>
            <a:ext uri="{FF2B5EF4-FFF2-40B4-BE49-F238E27FC236}">
              <a16:creationId xmlns:a16="http://schemas.microsoft.com/office/drawing/2014/main" id="{00000000-0008-0000-0000-00007E000000}"/>
            </a:ext>
          </a:extLst>
        </xdr:cNvPr>
        <xdr:cNvCxnSpPr/>
      </xdr:nvCxnSpPr>
      <xdr:spPr>
        <a:xfrm rot="10800000" flipV="1">
          <a:off x="4492388" y="8624626"/>
          <a:ext cx="3753134" cy="909851"/>
        </a:xfrm>
        <a:prstGeom prst="bentConnector3">
          <a:avLst>
            <a:gd name="adj1" fmla="val 0"/>
          </a:avLst>
        </a:prstGeom>
        <a:ln w="19050">
          <a:solidFill>
            <a:srgbClr val="42CCB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304042</xdr:colOff>
      <xdr:row>57</xdr:row>
      <xdr:rowOff>76580</xdr:rowOff>
    </xdr:from>
    <xdr:to>
      <xdr:col>6</xdr:col>
      <xdr:colOff>19713</xdr:colOff>
      <xdr:row>57</xdr:row>
      <xdr:rowOff>76580</xdr:rowOff>
    </xdr:to>
    <xdr:cxnSp macro="">
      <xdr:nvCxnSpPr>
        <xdr:cNvPr id="130" name="Straight Arrow Connector 129">
          <a:extLst>
            <a:ext uri="{FF2B5EF4-FFF2-40B4-BE49-F238E27FC236}">
              <a16:creationId xmlns:a16="http://schemas.microsoft.com/office/drawing/2014/main" id="{00000000-0008-0000-0000-000082000000}"/>
            </a:ext>
          </a:extLst>
        </xdr:cNvPr>
        <xdr:cNvCxnSpPr/>
      </xdr:nvCxnSpPr>
      <xdr:spPr>
        <a:xfrm>
          <a:off x="4474191" y="11525535"/>
          <a:ext cx="549701" cy="0"/>
        </a:xfrm>
        <a:prstGeom prst="straightConnector1">
          <a:avLst/>
        </a:prstGeom>
        <a:ln w="19050">
          <a:solidFill>
            <a:srgbClr val="42CCB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18957</xdr:colOff>
      <xdr:row>67</xdr:row>
      <xdr:rowOff>189551</xdr:rowOff>
    </xdr:from>
    <xdr:to>
      <xdr:col>16</xdr:col>
      <xdr:colOff>398060</xdr:colOff>
      <xdr:row>70</xdr:row>
      <xdr:rowOff>189551</xdr:rowOff>
    </xdr:to>
    <xdr:cxnSp macro="">
      <xdr:nvCxnSpPr>
        <xdr:cNvPr id="132" name="Elbow Connector 131">
          <a:extLst>
            <a:ext uri="{FF2B5EF4-FFF2-40B4-BE49-F238E27FC236}">
              <a16:creationId xmlns:a16="http://schemas.microsoft.com/office/drawing/2014/main" id="{00000000-0008-0000-0000-000084000000}"/>
            </a:ext>
          </a:extLst>
        </xdr:cNvPr>
        <xdr:cNvCxnSpPr/>
      </xdr:nvCxnSpPr>
      <xdr:spPr>
        <a:xfrm rot="10800000" flipV="1">
          <a:off x="10463285" y="12965372"/>
          <a:ext cx="3715223" cy="568657"/>
        </a:xfrm>
        <a:prstGeom prst="bentConnector3">
          <a:avLst>
            <a:gd name="adj1" fmla="val -2041"/>
          </a:avLst>
        </a:prstGeom>
        <a:ln w="19050">
          <a:solidFill>
            <a:srgbClr val="42CCBA"/>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303283</xdr:colOff>
      <xdr:row>33</xdr:row>
      <xdr:rowOff>0</xdr:rowOff>
    </xdr:from>
    <xdr:to>
      <xdr:col>13</xdr:col>
      <xdr:colOff>761530</xdr:colOff>
      <xdr:row>33</xdr:row>
      <xdr:rowOff>0</xdr:rowOff>
    </xdr:to>
    <xdr:cxnSp macro="">
      <xdr:nvCxnSpPr>
        <xdr:cNvPr id="134" name="Straight Connector 133">
          <a:extLst>
            <a:ext uri="{FF2B5EF4-FFF2-40B4-BE49-F238E27FC236}">
              <a16:creationId xmlns:a16="http://schemas.microsoft.com/office/drawing/2014/main" id="{00000000-0008-0000-0000-000086000000}"/>
            </a:ext>
          </a:extLst>
        </xdr:cNvPr>
        <xdr:cNvCxnSpPr/>
      </xdr:nvCxnSpPr>
      <xdr:spPr>
        <a:xfrm>
          <a:off x="11581641" y="6293134"/>
          <a:ext cx="458247" cy="0"/>
        </a:xfrm>
        <a:prstGeom prst="line">
          <a:avLst/>
        </a:prstGeom>
        <a:ln w="19050">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436626</xdr:colOff>
      <xdr:row>32</xdr:row>
      <xdr:rowOff>23153</xdr:rowOff>
    </xdr:from>
    <xdr:to>
      <xdr:col>10</xdr:col>
      <xdr:colOff>855595</xdr:colOff>
      <xdr:row>33</xdr:row>
      <xdr:rowOff>127895</xdr:rowOff>
    </xdr:to>
    <xdr:sp macro="" textlink="">
      <xdr:nvSpPr>
        <xdr:cNvPr id="135" name="Rectangle 134">
          <a:extLst>
            <a:ext uri="{FF2B5EF4-FFF2-40B4-BE49-F238E27FC236}">
              <a16:creationId xmlns:a16="http://schemas.microsoft.com/office/drawing/2014/main" id="{00000000-0008-0000-0000-000087000000}"/>
            </a:ext>
          </a:extLst>
        </xdr:cNvPr>
        <xdr:cNvSpPr/>
      </xdr:nvSpPr>
      <xdr:spPr>
        <a:xfrm>
          <a:off x="8928566" y="6126735"/>
          <a:ext cx="418969" cy="294294"/>
        </a:xfrm>
        <a:prstGeom prst="rect">
          <a:avLst/>
        </a:prstGeom>
        <a:solidFill>
          <a:schemeClr val="accent2"/>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14</xdr:col>
      <xdr:colOff>18955</xdr:colOff>
      <xdr:row>66</xdr:row>
      <xdr:rowOff>14432</xdr:rowOff>
    </xdr:from>
    <xdr:to>
      <xdr:col>14</xdr:col>
      <xdr:colOff>511791</xdr:colOff>
      <xdr:row>66</xdr:row>
      <xdr:rowOff>14432</xdr:rowOff>
    </xdr:to>
    <xdr:cxnSp macro="">
      <xdr:nvCxnSpPr>
        <xdr:cNvPr id="137" name="Straight Connector 136">
          <a:extLst>
            <a:ext uri="{FF2B5EF4-FFF2-40B4-BE49-F238E27FC236}">
              <a16:creationId xmlns:a16="http://schemas.microsoft.com/office/drawing/2014/main" id="{00000000-0008-0000-0000-000089000000}"/>
            </a:ext>
          </a:extLst>
        </xdr:cNvPr>
        <xdr:cNvCxnSpPr/>
      </xdr:nvCxnSpPr>
      <xdr:spPr>
        <a:xfrm>
          <a:off x="12069523" y="12671137"/>
          <a:ext cx="492836" cy="0"/>
        </a:xfrm>
        <a:prstGeom prst="line">
          <a:avLst/>
        </a:prstGeom>
        <a:ln w="19050">
          <a:solidFill>
            <a:schemeClr val="accent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417014</xdr:colOff>
      <xdr:row>66</xdr:row>
      <xdr:rowOff>1</xdr:rowOff>
    </xdr:from>
    <xdr:to>
      <xdr:col>9</xdr:col>
      <xdr:colOff>-1</xdr:colOff>
      <xdr:row>71</xdr:row>
      <xdr:rowOff>18956</xdr:rowOff>
    </xdr:to>
    <xdr:cxnSp macro="">
      <xdr:nvCxnSpPr>
        <xdr:cNvPr id="139" name="Elbow Connector 138">
          <a:extLst>
            <a:ext uri="{FF2B5EF4-FFF2-40B4-BE49-F238E27FC236}">
              <a16:creationId xmlns:a16="http://schemas.microsoft.com/office/drawing/2014/main" id="{00000000-0008-0000-0000-00008B000000}"/>
            </a:ext>
          </a:extLst>
        </xdr:cNvPr>
        <xdr:cNvCxnSpPr/>
      </xdr:nvCxnSpPr>
      <xdr:spPr>
        <a:xfrm rot="5400000">
          <a:off x="6814403" y="12861120"/>
          <a:ext cx="966716" cy="417015"/>
        </a:xfrm>
        <a:prstGeom prst="bentConnector3">
          <a:avLst>
            <a:gd name="adj1" fmla="val 980"/>
          </a:avLst>
        </a:prstGeom>
        <a:ln w="19050">
          <a:solidFill>
            <a:srgbClr val="42CCB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793750</xdr:colOff>
      <xdr:row>55</xdr:row>
      <xdr:rowOff>144318</xdr:rowOff>
    </xdr:from>
    <xdr:to>
      <xdr:col>5</xdr:col>
      <xdr:colOff>793750</xdr:colOff>
      <xdr:row>55</xdr:row>
      <xdr:rowOff>158750</xdr:rowOff>
    </xdr:to>
    <xdr:cxnSp macro="">
      <xdr:nvCxnSpPr>
        <xdr:cNvPr id="9" name="Straight Arrow Connector 8">
          <a:extLst>
            <a:ext uri="{FF2B5EF4-FFF2-40B4-BE49-F238E27FC236}">
              <a16:creationId xmlns:a16="http://schemas.microsoft.com/office/drawing/2014/main" id="{00000000-0008-0000-0000-000009000000}"/>
            </a:ext>
          </a:extLst>
        </xdr:cNvPr>
        <xdr:cNvCxnSpPr/>
      </xdr:nvCxnSpPr>
      <xdr:spPr>
        <a:xfrm>
          <a:off x="4098636" y="10737273"/>
          <a:ext cx="822614" cy="14432"/>
        </a:xfrm>
        <a:prstGeom prst="straightConnector1">
          <a:avLst/>
        </a:prstGeom>
        <a:ln>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5</xdr:col>
          <xdr:colOff>596900</xdr:colOff>
          <xdr:row>21</xdr:row>
          <xdr:rowOff>165100</xdr:rowOff>
        </xdr:from>
        <xdr:to>
          <xdr:col>7</xdr:col>
          <xdr:colOff>342900</xdr:colOff>
          <xdr:row>23</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Maximize Profit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21</xdr:row>
          <xdr:rowOff>152400</xdr:rowOff>
        </xdr:from>
        <xdr:to>
          <xdr:col>9</xdr:col>
          <xdr:colOff>546100</xdr:colOff>
          <xdr:row>23</xdr:row>
          <xdr:rowOff>139700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GB" sz="1100" b="0" i="0" u="none" strike="noStrike" baseline="0">
                  <a:solidFill>
                    <a:srgbClr val="000000"/>
                  </a:solidFill>
                  <a:latin typeface="Calibri" pitchFamily="2" charset="0"/>
                  <a:cs typeface="Calibri" pitchFamily="2" charset="0"/>
                </a:rPr>
                <a:t>Minimize CO</a:t>
              </a:r>
              <a:r>
                <a:rPr lang="en-GB" sz="800" b="0" i="0" u="none" strike="noStrike" baseline="0">
                  <a:solidFill>
                    <a:srgbClr val="000000"/>
                  </a:solidFill>
                  <a:latin typeface="Calibri" pitchFamily="2" charset="0"/>
                  <a:cs typeface="Calibri" pitchFamily="2" charset="0"/>
                </a:rPr>
                <a:t>2</a:t>
              </a:r>
              <a:r>
                <a:rPr lang="en-GB" sz="1100" b="0" i="0" u="none" strike="noStrike" baseline="0">
                  <a:solidFill>
                    <a:srgbClr val="000000"/>
                  </a:solidFill>
                  <a:latin typeface="Calibri" pitchFamily="2" charset="0"/>
                  <a:cs typeface="Calibri" pitchFamily="2" charset="0"/>
                </a:rPr>
                <a:t> Emissions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876300</xdr:colOff>
          <xdr:row>21</xdr:row>
          <xdr:rowOff>139700</xdr:rowOff>
        </xdr:from>
        <xdr:to>
          <xdr:col>12</xdr:col>
          <xdr:colOff>139700</xdr:colOff>
          <xdr:row>23</xdr:row>
          <xdr:rowOff>127000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Generate ε–Constraint Graph</a:t>
              </a:r>
            </a:p>
          </xdr:txBody>
        </xdr:sp>
        <xdr:clientData fPrintsWithSheet="0"/>
      </xdr:twoCellAnchor>
    </mc:Choice>
    <mc:Fallback/>
  </mc:AlternateContent>
  <xdr:twoCellAnchor>
    <xdr:from>
      <xdr:col>2</xdr:col>
      <xdr:colOff>60476</xdr:colOff>
      <xdr:row>86</xdr:row>
      <xdr:rowOff>0</xdr:rowOff>
    </xdr:from>
    <xdr:to>
      <xdr:col>18</xdr:col>
      <xdr:colOff>30238</xdr:colOff>
      <xdr:row>114</xdr:row>
      <xdr:rowOff>75596</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431800</xdr:colOff>
          <xdr:row>21</xdr:row>
          <xdr:rowOff>139700</xdr:rowOff>
        </xdr:from>
        <xdr:to>
          <xdr:col>14</xdr:col>
          <xdr:colOff>177800</xdr:colOff>
          <xdr:row>23</xdr:row>
          <xdr:rowOff>127000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Clear Contents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68B49-FA8E-3242-B05C-9A995CF0232A}">
  <sheetPr codeName="Sheet2"/>
  <dimension ref="A1:XFC116"/>
  <sheetViews>
    <sheetView tabSelected="1" zoomScale="84" zoomScaleNormal="70" workbookViewId="0">
      <selection activeCell="N78" sqref="N78:N80"/>
    </sheetView>
  </sheetViews>
  <sheetFormatPr baseColWidth="10" defaultColWidth="0" defaultRowHeight="15" customHeight="1" zeroHeight="1" x14ac:dyDescent="0.2"/>
  <cols>
    <col min="1" max="1" width="10.83203125" style="40" customWidth="1"/>
    <col min="2" max="2" width="11" style="40" customWidth="1"/>
    <col min="3" max="3" width="10.83203125" style="40" customWidth="1"/>
    <col min="4" max="4" width="13.6640625" style="40" bestFit="1" customWidth="1"/>
    <col min="5" max="6" width="10.83203125" style="40" customWidth="1"/>
    <col min="7" max="7" width="12.5" style="40" bestFit="1" customWidth="1"/>
    <col min="8" max="9" width="10.83203125" style="40" customWidth="1"/>
    <col min="10" max="11" width="13" style="40" customWidth="1"/>
    <col min="12" max="12" width="12.6640625" style="40" customWidth="1"/>
    <col min="13" max="13" width="12.5" style="40" bestFit="1" customWidth="1"/>
    <col min="14" max="19" width="10.83203125" style="40" customWidth="1"/>
    <col min="20" max="20" width="12.83203125" style="40" customWidth="1"/>
    <col min="21" max="27" width="0" hidden="1" customWidth="1"/>
    <col min="28" max="16383" width="10.83203125" hidden="1"/>
    <col min="16384" max="16384" width="3.6640625" hidden="1" customWidth="1"/>
  </cols>
  <sheetData>
    <row r="1" spans="2:20" s="40" customFormat="1" x14ac:dyDescent="0.2"/>
    <row r="2" spans="2:20" s="40" customFormat="1" x14ac:dyDescent="0.2"/>
    <row r="3" spans="2:20" ht="15" customHeight="1" x14ac:dyDescent="0.2">
      <c r="B3" s="195" t="s">
        <v>0</v>
      </c>
      <c r="C3" s="195"/>
      <c r="D3" s="195"/>
      <c r="E3" s="195"/>
      <c r="F3" s="195"/>
      <c r="G3" s="195"/>
      <c r="H3" s="195"/>
      <c r="I3" s="195"/>
      <c r="J3" s="195"/>
      <c r="K3" s="195"/>
      <c r="L3" s="195"/>
      <c r="M3" s="195"/>
      <c r="N3" s="195"/>
      <c r="O3" s="195"/>
      <c r="P3" s="195"/>
      <c r="Q3" s="195"/>
      <c r="R3" s="195"/>
      <c r="S3" s="195"/>
      <c r="T3" s="41"/>
    </row>
    <row r="4" spans="2:20" ht="15" customHeight="1" x14ac:dyDescent="0.2">
      <c r="B4" s="195"/>
      <c r="C4" s="195"/>
      <c r="D4" s="195"/>
      <c r="E4" s="195"/>
      <c r="F4" s="195"/>
      <c r="G4" s="195"/>
      <c r="H4" s="195"/>
      <c r="I4" s="195"/>
      <c r="J4" s="195"/>
      <c r="K4" s="195"/>
      <c r="L4" s="195"/>
      <c r="M4" s="195"/>
      <c r="N4" s="195"/>
      <c r="O4" s="195"/>
      <c r="P4" s="195"/>
      <c r="Q4" s="195"/>
      <c r="R4" s="195"/>
      <c r="S4" s="195"/>
      <c r="T4" s="41"/>
    </row>
    <row r="5" spans="2:20" ht="15" customHeight="1" x14ac:dyDescent="0.2">
      <c r="B5" s="195"/>
      <c r="C5" s="195"/>
      <c r="D5" s="195"/>
      <c r="E5" s="195"/>
      <c r="F5" s="195"/>
      <c r="G5" s="195"/>
      <c r="H5" s="195"/>
      <c r="I5" s="195"/>
      <c r="J5" s="195"/>
      <c r="K5" s="195"/>
      <c r="L5" s="195"/>
      <c r="M5" s="195"/>
      <c r="N5" s="195"/>
      <c r="O5" s="195"/>
      <c r="P5" s="195"/>
      <c r="Q5" s="195"/>
      <c r="R5" s="195"/>
      <c r="S5" s="195"/>
      <c r="T5" s="41"/>
    </row>
    <row r="6" spans="2:20" x14ac:dyDescent="0.2">
      <c r="B6" s="42"/>
      <c r="C6" s="42"/>
      <c r="D6" s="42"/>
      <c r="E6" s="42"/>
      <c r="F6" s="42"/>
      <c r="G6" s="42"/>
      <c r="H6" s="42"/>
      <c r="I6" s="42"/>
      <c r="J6" s="42"/>
      <c r="K6" s="42"/>
      <c r="L6" s="42"/>
    </row>
    <row r="7" spans="2:20" x14ac:dyDescent="0.2">
      <c r="D7" s="196" t="s">
        <v>1</v>
      </c>
      <c r="E7" s="196"/>
      <c r="F7" s="196"/>
      <c r="G7" s="196"/>
      <c r="H7" s="43"/>
      <c r="I7" s="196" t="s">
        <v>1</v>
      </c>
      <c r="J7" s="196"/>
      <c r="K7" s="196"/>
      <c r="L7" s="196"/>
      <c r="M7" s="196" t="s">
        <v>1</v>
      </c>
      <c r="N7" s="196"/>
      <c r="O7" s="196"/>
      <c r="P7" s="196"/>
      <c r="Q7" s="196"/>
      <c r="R7" s="196"/>
    </row>
    <row r="8" spans="2:20" ht="79" customHeight="1" x14ac:dyDescent="0.2">
      <c r="D8" s="199" t="s">
        <v>2</v>
      </c>
      <c r="E8" s="199"/>
      <c r="F8" s="199"/>
      <c r="G8" s="199"/>
      <c r="H8" s="65"/>
      <c r="I8" s="199" t="s">
        <v>3</v>
      </c>
      <c r="J8" s="199"/>
      <c r="K8" s="199"/>
      <c r="L8" s="199"/>
      <c r="M8" s="197" t="s">
        <v>164</v>
      </c>
      <c r="N8" s="198"/>
      <c r="O8" s="198"/>
      <c r="P8" s="198"/>
      <c r="Q8" s="198"/>
      <c r="R8" s="198"/>
    </row>
    <row r="9" spans="2:20" x14ac:dyDescent="0.2">
      <c r="D9" s="196" t="s">
        <v>1</v>
      </c>
      <c r="E9" s="196"/>
      <c r="F9" s="196"/>
      <c r="G9" s="196"/>
      <c r="H9" s="43"/>
      <c r="I9" s="196" t="s">
        <v>1</v>
      </c>
      <c r="J9" s="196"/>
      <c r="K9" s="196"/>
      <c r="L9" s="196"/>
      <c r="M9" s="196" t="s">
        <v>1</v>
      </c>
      <c r="N9" s="196"/>
      <c r="O9" s="196"/>
      <c r="P9" s="196"/>
      <c r="Q9" s="196"/>
      <c r="R9" s="196"/>
    </row>
    <row r="10" spans="2:20" x14ac:dyDescent="0.2">
      <c r="E10" s="43"/>
      <c r="F10" s="43"/>
      <c r="G10" s="43"/>
      <c r="H10" s="43"/>
      <c r="J10" s="43"/>
      <c r="K10" s="43"/>
      <c r="L10" s="43"/>
      <c r="M10" s="43"/>
      <c r="N10" s="43"/>
      <c r="O10" s="43"/>
      <c r="P10" s="43"/>
      <c r="Q10" s="43"/>
    </row>
    <row r="11" spans="2:20" ht="15" customHeight="1" x14ac:dyDescent="0.2">
      <c r="D11" s="163"/>
      <c r="E11" s="164"/>
      <c r="F11" s="164"/>
      <c r="G11" s="165"/>
      <c r="I11" s="163"/>
      <c r="J11" s="164"/>
      <c r="K11" s="164"/>
      <c r="L11" s="165"/>
      <c r="N11" s="172" t="s">
        <v>6</v>
      </c>
      <c r="O11" s="173"/>
      <c r="P11" s="176"/>
      <c r="Q11" s="177"/>
    </row>
    <row r="12" spans="2:20" ht="15" customHeight="1" x14ac:dyDescent="0.2">
      <c r="D12" s="166"/>
      <c r="E12" s="167"/>
      <c r="F12" s="167"/>
      <c r="G12" s="168"/>
      <c r="I12" s="166"/>
      <c r="J12" s="167"/>
      <c r="K12" s="167"/>
      <c r="L12" s="168"/>
      <c r="N12" s="174"/>
      <c r="O12" s="175"/>
      <c r="P12" s="178"/>
      <c r="Q12" s="179"/>
    </row>
    <row r="13" spans="2:20" ht="15" customHeight="1" x14ac:dyDescent="0.2">
      <c r="D13" s="166"/>
      <c r="E13" s="167"/>
      <c r="F13" s="167"/>
      <c r="G13" s="168"/>
      <c r="I13" s="166"/>
      <c r="J13" s="167"/>
      <c r="K13" s="167"/>
      <c r="L13" s="168"/>
      <c r="N13" s="172" t="s">
        <v>7</v>
      </c>
      <c r="O13" s="173"/>
      <c r="P13" s="176"/>
      <c r="Q13" s="177"/>
    </row>
    <row r="14" spans="2:20" ht="15" customHeight="1" x14ac:dyDescent="0.2">
      <c r="D14" s="166"/>
      <c r="E14" s="167"/>
      <c r="F14" s="167"/>
      <c r="G14" s="168"/>
      <c r="I14" s="166"/>
      <c r="J14" s="167"/>
      <c r="K14" s="167"/>
      <c r="L14" s="168"/>
      <c r="N14" s="174"/>
      <c r="O14" s="175"/>
      <c r="P14" s="178"/>
      <c r="Q14" s="179"/>
      <c r="S14" s="109"/>
    </row>
    <row r="15" spans="2:20" ht="15" customHeight="1" x14ac:dyDescent="0.2">
      <c r="D15" s="166"/>
      <c r="E15" s="167"/>
      <c r="F15" s="167"/>
      <c r="G15" s="168"/>
      <c r="I15" s="166"/>
      <c r="J15" s="167"/>
      <c r="K15" s="167"/>
      <c r="L15" s="168"/>
      <c r="N15" s="172" t="s">
        <v>8</v>
      </c>
      <c r="O15" s="173"/>
      <c r="P15" s="176"/>
      <c r="Q15" s="177"/>
    </row>
    <row r="16" spans="2:20" ht="15" customHeight="1" x14ac:dyDescent="0.2">
      <c r="D16" s="169"/>
      <c r="E16" s="170"/>
      <c r="F16" s="170"/>
      <c r="G16" s="171"/>
      <c r="I16" s="169"/>
      <c r="J16" s="170"/>
      <c r="K16" s="170"/>
      <c r="L16" s="171"/>
      <c r="N16" s="174"/>
      <c r="O16" s="175"/>
      <c r="P16" s="178"/>
      <c r="Q16" s="179"/>
    </row>
    <row r="17" spans="2:22" x14ac:dyDescent="0.2">
      <c r="B17" s="65"/>
      <c r="C17" s="65"/>
      <c r="D17" s="65"/>
      <c r="E17" s="65"/>
      <c r="F17" s="65"/>
      <c r="G17" s="65"/>
      <c r="H17" s="65"/>
      <c r="I17" s="42"/>
      <c r="J17" s="42"/>
      <c r="K17" s="42"/>
      <c r="L17" s="42"/>
    </row>
    <row r="18" spans="2:22" x14ac:dyDescent="0.2">
      <c r="B18" s="44"/>
      <c r="C18" s="44"/>
      <c r="D18" s="44"/>
      <c r="E18" s="44"/>
      <c r="F18" s="44"/>
      <c r="G18" s="44"/>
      <c r="H18" s="44"/>
      <c r="I18" s="44"/>
      <c r="J18" s="44"/>
      <c r="K18" s="44"/>
      <c r="L18" s="44"/>
      <c r="M18" s="44"/>
    </row>
    <row r="19" spans="2:22" x14ac:dyDescent="0.2">
      <c r="B19" s="44"/>
      <c r="C19" s="196" t="s">
        <v>1</v>
      </c>
      <c r="D19" s="196"/>
      <c r="E19" s="196"/>
      <c r="F19" s="196"/>
      <c r="G19" s="196"/>
      <c r="H19" s="196"/>
      <c r="I19" s="196"/>
      <c r="J19" s="196"/>
      <c r="K19" s="196"/>
      <c r="L19" s="196"/>
      <c r="M19" s="196"/>
      <c r="N19" s="196"/>
      <c r="O19" s="196"/>
      <c r="P19" s="196"/>
      <c r="Q19" s="196"/>
      <c r="R19" s="196"/>
    </row>
    <row r="20" spans="2:22" x14ac:dyDescent="0.2">
      <c r="B20" s="44"/>
      <c r="C20" s="198" t="s">
        <v>165</v>
      </c>
      <c r="D20" s="198"/>
      <c r="E20" s="198"/>
      <c r="F20" s="198"/>
      <c r="G20" s="198"/>
      <c r="H20" s="198"/>
      <c r="I20" s="198"/>
      <c r="J20" s="198"/>
      <c r="K20" s="198"/>
      <c r="L20" s="198"/>
      <c r="M20" s="198"/>
      <c r="N20" s="198"/>
      <c r="O20" s="198"/>
      <c r="P20" s="198"/>
      <c r="Q20" s="198"/>
      <c r="R20" s="198"/>
    </row>
    <row r="21" spans="2:22" x14ac:dyDescent="0.2">
      <c r="B21" s="42"/>
      <c r="C21" s="196" t="s">
        <v>1</v>
      </c>
      <c r="D21" s="196"/>
      <c r="E21" s="196"/>
      <c r="F21" s="196"/>
      <c r="G21" s="196"/>
      <c r="H21" s="196"/>
      <c r="I21" s="196"/>
      <c r="J21" s="196"/>
      <c r="K21" s="196"/>
      <c r="L21" s="196"/>
      <c r="M21" s="196"/>
      <c r="N21" s="196"/>
      <c r="O21" s="196"/>
      <c r="P21" s="196"/>
      <c r="Q21" s="196"/>
      <c r="R21" s="196"/>
    </row>
    <row r="22" spans="2:22" x14ac:dyDescent="0.2">
      <c r="B22" s="42"/>
      <c r="C22" s="44"/>
      <c r="D22" s="44"/>
      <c r="E22" s="44"/>
      <c r="F22" s="44"/>
      <c r="G22" s="44"/>
      <c r="H22" s="44"/>
      <c r="I22" s="44"/>
      <c r="J22" s="44"/>
      <c r="K22" s="44"/>
      <c r="L22" s="44"/>
    </row>
    <row r="23" spans="2:22" x14ac:dyDescent="0.2">
      <c r="B23" s="42"/>
      <c r="C23" s="44"/>
      <c r="D23" s="44"/>
      <c r="E23" s="44"/>
      <c r="F23" s="44"/>
      <c r="G23" s="44"/>
      <c r="H23" s="44"/>
      <c r="I23" s="44"/>
      <c r="J23" s="44"/>
      <c r="K23" s="44"/>
      <c r="L23" s="44"/>
      <c r="R23" s="110"/>
    </row>
    <row r="24" spans="2:22" ht="16" customHeight="1" x14ac:dyDescent="0.2">
      <c r="B24" s="42"/>
      <c r="C24" s="44"/>
      <c r="D24" s="44"/>
      <c r="E24" s="44"/>
      <c r="F24" s="44"/>
      <c r="G24" s="44"/>
      <c r="H24" s="44"/>
      <c r="I24" s="44"/>
      <c r="J24" s="44"/>
      <c r="K24" s="44"/>
      <c r="L24" s="44"/>
      <c r="S24" s="110"/>
    </row>
    <row r="25" spans="2:22" ht="16" customHeight="1" x14ac:dyDescent="0.2">
      <c r="B25" s="42"/>
      <c r="C25" s="45"/>
      <c r="D25" s="45"/>
      <c r="E25" s="45"/>
      <c r="F25" s="45"/>
      <c r="G25" s="45"/>
      <c r="H25" s="45"/>
      <c r="I25" s="45"/>
      <c r="J25" s="45"/>
      <c r="K25" s="45"/>
      <c r="L25" s="45"/>
      <c r="S25" s="112"/>
      <c r="T25" s="112"/>
      <c r="U25" s="110"/>
      <c r="V25" s="110"/>
    </row>
    <row r="26" spans="2:22" ht="15" customHeight="1" x14ac:dyDescent="0.2">
      <c r="B26" s="42"/>
      <c r="C26" s="210" t="s">
        <v>9</v>
      </c>
      <c r="D26" s="210"/>
      <c r="E26" s="210"/>
      <c r="F26" s="210"/>
      <c r="G26" s="210"/>
      <c r="H26" s="210"/>
      <c r="I26" s="210"/>
      <c r="J26" s="210"/>
      <c r="K26" s="210"/>
      <c r="L26" s="210"/>
      <c r="M26" s="210"/>
      <c r="N26" s="210"/>
      <c r="O26" s="210"/>
      <c r="P26" s="210"/>
      <c r="Q26" s="210"/>
      <c r="R26" s="210"/>
    </row>
    <row r="27" spans="2:22" ht="15" customHeight="1" x14ac:dyDescent="0.2">
      <c r="B27" s="42"/>
      <c r="C27" s="210"/>
      <c r="D27" s="210"/>
      <c r="E27" s="210"/>
      <c r="F27" s="210"/>
      <c r="G27" s="210"/>
      <c r="H27" s="210"/>
      <c r="I27" s="210"/>
      <c r="J27" s="210"/>
      <c r="K27" s="210"/>
      <c r="L27" s="210"/>
      <c r="M27" s="210"/>
      <c r="N27" s="210"/>
      <c r="O27" s="210"/>
      <c r="P27" s="210"/>
      <c r="Q27" s="210"/>
      <c r="R27" s="210"/>
      <c r="S27" s="40" t="s">
        <v>10</v>
      </c>
    </row>
    <row r="28" spans="2:22" ht="15" customHeight="1" x14ac:dyDescent="0.2">
      <c r="B28" s="42"/>
      <c r="C28" s="210"/>
      <c r="D28" s="210"/>
      <c r="E28" s="210"/>
      <c r="F28" s="210"/>
      <c r="G28" s="210"/>
      <c r="H28" s="210"/>
      <c r="I28" s="210"/>
      <c r="J28" s="210"/>
      <c r="K28" s="210"/>
      <c r="L28" s="210"/>
      <c r="M28" s="210"/>
      <c r="N28" s="210"/>
      <c r="O28" s="210"/>
      <c r="P28" s="210"/>
      <c r="Q28" s="210"/>
      <c r="R28" s="210"/>
      <c r="T28" s="40" t="s">
        <v>11</v>
      </c>
    </row>
    <row r="29" spans="2:22" x14ac:dyDescent="0.2">
      <c r="B29" s="42"/>
      <c r="C29" s="196" t="s">
        <v>1</v>
      </c>
      <c r="D29" s="196"/>
      <c r="E29" s="196"/>
      <c r="F29" s="196"/>
      <c r="G29" s="196"/>
      <c r="H29" s="196"/>
      <c r="I29" s="196"/>
      <c r="J29" s="196"/>
      <c r="K29" s="196"/>
      <c r="L29" s="196"/>
      <c r="M29" s="196"/>
      <c r="N29" s="196"/>
      <c r="O29" s="196"/>
      <c r="P29" s="196"/>
      <c r="Q29" s="196"/>
      <c r="R29" s="196"/>
    </row>
    <row r="30" spans="2:22" x14ac:dyDescent="0.2">
      <c r="B30" s="42"/>
      <c r="C30" s="216" t="s">
        <v>12</v>
      </c>
      <c r="D30" s="216"/>
      <c r="E30" s="216"/>
      <c r="F30" s="216"/>
      <c r="G30" s="216"/>
      <c r="H30" s="216"/>
      <c r="I30" s="216"/>
      <c r="J30" s="216"/>
      <c r="K30" s="217" t="s">
        <v>13</v>
      </c>
      <c r="L30" s="217"/>
      <c r="M30" s="217"/>
      <c r="N30" s="217"/>
      <c r="O30" s="217"/>
      <c r="P30" s="217"/>
      <c r="Q30" s="217"/>
      <c r="R30" s="217"/>
      <c r="S30" s="48"/>
    </row>
    <row r="31" spans="2:22" x14ac:dyDescent="0.2">
      <c r="B31" s="52"/>
      <c r="C31" s="216"/>
      <c r="D31" s="216"/>
      <c r="E31" s="216"/>
      <c r="F31" s="216"/>
      <c r="G31" s="216"/>
      <c r="H31" s="216"/>
      <c r="I31" s="216"/>
      <c r="J31" s="216"/>
      <c r="K31" s="49"/>
      <c r="L31" s="50" t="s">
        <v>14</v>
      </c>
      <c r="M31" s="49"/>
      <c r="N31" s="49"/>
      <c r="O31" s="50" t="s">
        <v>15</v>
      </c>
      <c r="P31" s="49"/>
      <c r="Q31" s="49"/>
      <c r="R31" s="49"/>
      <c r="S31" s="48"/>
    </row>
    <row r="32" spans="2:22" x14ac:dyDescent="0.2">
      <c r="B32" s="52"/>
      <c r="C32" s="216"/>
      <c r="D32" s="216"/>
      <c r="E32" s="216"/>
      <c r="F32" s="216"/>
      <c r="G32" s="216"/>
      <c r="H32" s="216"/>
      <c r="I32" s="216"/>
      <c r="J32" s="216"/>
      <c r="K32" s="49"/>
      <c r="L32" s="49" t="s">
        <v>16</v>
      </c>
      <c r="M32" s="49"/>
      <c r="N32" s="49"/>
      <c r="O32" s="49" t="s">
        <v>17</v>
      </c>
      <c r="P32" s="49"/>
      <c r="Q32" s="49"/>
      <c r="R32" s="49"/>
      <c r="S32" s="48"/>
    </row>
    <row r="33" spans="2:19" x14ac:dyDescent="0.2">
      <c r="B33" s="52"/>
      <c r="C33" s="216"/>
      <c r="D33" s="216"/>
      <c r="E33" s="216"/>
      <c r="F33" s="216"/>
      <c r="G33" s="216"/>
      <c r="H33" s="216"/>
      <c r="I33" s="216"/>
      <c r="J33" s="216"/>
      <c r="K33" s="49"/>
      <c r="L33" s="50" t="s">
        <v>18</v>
      </c>
      <c r="M33" s="49"/>
      <c r="N33" s="49"/>
      <c r="O33" s="50" t="s">
        <v>19</v>
      </c>
      <c r="P33" s="49"/>
      <c r="Q33" s="49"/>
      <c r="R33" s="49"/>
      <c r="S33" s="48"/>
    </row>
    <row r="34" spans="2:19" x14ac:dyDescent="0.2">
      <c r="B34" s="52"/>
      <c r="C34" s="216"/>
      <c r="D34" s="216"/>
      <c r="E34" s="216"/>
      <c r="F34" s="216"/>
      <c r="G34" s="216"/>
      <c r="H34" s="216"/>
      <c r="I34" s="216"/>
      <c r="J34" s="216"/>
      <c r="K34" s="49"/>
      <c r="L34" s="49" t="s">
        <v>20</v>
      </c>
      <c r="M34" s="49"/>
      <c r="N34" s="49"/>
      <c r="O34" s="49" t="s">
        <v>21</v>
      </c>
      <c r="P34" s="49"/>
      <c r="Q34" s="49"/>
      <c r="R34" s="49"/>
      <c r="S34" s="48"/>
    </row>
    <row r="35" spans="2:19" x14ac:dyDescent="0.2">
      <c r="B35" s="44"/>
      <c r="C35" s="201" t="s">
        <v>1</v>
      </c>
      <c r="D35" s="201"/>
      <c r="E35" s="201"/>
      <c r="F35" s="201"/>
      <c r="G35" s="201"/>
      <c r="H35" s="201"/>
      <c r="I35" s="201"/>
      <c r="J35" s="201"/>
      <c r="K35" s="201"/>
      <c r="L35" s="201"/>
      <c r="M35" s="201"/>
      <c r="N35" s="201"/>
      <c r="O35" s="201"/>
      <c r="P35" s="201"/>
      <c r="Q35" s="201"/>
      <c r="R35" s="201"/>
      <c r="S35" s="48"/>
    </row>
    <row r="36" spans="2:19" x14ac:dyDescent="0.2">
      <c r="B36" s="44"/>
      <c r="C36" s="48"/>
      <c r="D36" s="51"/>
      <c r="E36" s="51"/>
      <c r="F36" s="51"/>
      <c r="G36" s="51"/>
      <c r="H36" s="51"/>
      <c r="I36" s="51"/>
      <c r="J36" s="51"/>
      <c r="K36" s="51"/>
      <c r="L36" s="51"/>
      <c r="M36" s="51"/>
      <c r="N36" s="51"/>
      <c r="O36" s="51"/>
      <c r="P36" s="51"/>
      <c r="Q36" s="51"/>
      <c r="R36" s="51"/>
      <c r="S36" s="48"/>
    </row>
    <row r="37" spans="2:19" x14ac:dyDescent="0.2">
      <c r="B37" s="44"/>
      <c r="C37" s="103"/>
      <c r="D37" s="104"/>
      <c r="E37" s="104"/>
      <c r="F37" s="104"/>
      <c r="G37" s="104"/>
      <c r="H37" s="104"/>
      <c r="I37" s="104"/>
      <c r="J37" s="104"/>
      <c r="K37" s="104"/>
      <c r="L37" s="104"/>
      <c r="M37" s="104"/>
      <c r="N37" s="104"/>
      <c r="O37" s="104"/>
      <c r="P37" s="104"/>
      <c r="Q37" s="104"/>
      <c r="R37" s="104"/>
      <c r="S37" s="103"/>
    </row>
    <row r="38" spans="2:19" x14ac:dyDescent="0.2">
      <c r="B38" s="44"/>
      <c r="C38" s="103"/>
      <c r="D38" s="105"/>
      <c r="E38" s="105"/>
      <c r="F38" s="105"/>
      <c r="G38" s="105"/>
      <c r="H38" s="105"/>
      <c r="I38" s="105"/>
      <c r="J38" s="219" t="s">
        <v>22</v>
      </c>
      <c r="K38" s="219"/>
      <c r="L38" s="106"/>
      <c r="M38" s="105"/>
      <c r="N38" s="105"/>
      <c r="O38" s="105"/>
      <c r="P38" s="105"/>
      <c r="Q38" s="105"/>
      <c r="R38" s="104"/>
      <c r="S38" s="103"/>
    </row>
    <row r="39" spans="2:19" x14ac:dyDescent="0.2">
      <c r="B39" s="44"/>
      <c r="C39" s="103"/>
      <c r="D39" s="105"/>
      <c r="E39" s="105"/>
      <c r="F39" s="105"/>
      <c r="G39" s="105"/>
      <c r="H39" s="105"/>
      <c r="I39" s="105"/>
      <c r="J39" s="219"/>
      <c r="K39" s="219"/>
      <c r="L39" s="106"/>
      <c r="M39" s="105"/>
      <c r="N39" s="105"/>
      <c r="O39" s="105"/>
      <c r="P39" s="105"/>
      <c r="Q39" s="105"/>
      <c r="R39" s="104"/>
      <c r="S39" s="103"/>
    </row>
    <row r="40" spans="2:19" x14ac:dyDescent="0.2">
      <c r="B40" s="44"/>
      <c r="C40" s="103"/>
      <c r="D40" s="105"/>
      <c r="E40" s="105"/>
      <c r="F40" s="105"/>
      <c r="G40" s="105"/>
      <c r="H40" s="105"/>
      <c r="I40" s="105"/>
      <c r="J40" s="107">
        <f>Simulator!O10</f>
        <v>0</v>
      </c>
      <c r="K40" s="108" t="str">
        <f>Simulator!D10</f>
        <v>kWh/day</v>
      </c>
      <c r="L40" s="105"/>
      <c r="M40" s="105"/>
      <c r="N40" s="105"/>
      <c r="O40" s="105"/>
      <c r="P40" s="105"/>
      <c r="Q40" s="105"/>
      <c r="R40" s="104"/>
      <c r="S40" s="103"/>
    </row>
    <row r="41" spans="2:19" x14ac:dyDescent="0.2">
      <c r="B41" s="44"/>
      <c r="C41" s="103"/>
      <c r="D41" s="105"/>
      <c r="E41" s="105"/>
      <c r="F41" s="105"/>
      <c r="G41" s="105"/>
      <c r="H41" s="105"/>
      <c r="I41" s="105"/>
      <c r="J41" s="105"/>
      <c r="K41" s="105"/>
      <c r="L41" s="105"/>
      <c r="M41" s="105"/>
      <c r="N41" s="105"/>
      <c r="O41" s="105"/>
      <c r="P41" s="105"/>
      <c r="Q41" s="105"/>
      <c r="R41" s="104"/>
      <c r="S41" s="103"/>
    </row>
    <row r="42" spans="2:19" ht="15" customHeight="1" x14ac:dyDescent="0.2">
      <c r="B42" s="52"/>
      <c r="C42" s="109"/>
      <c r="D42" s="110"/>
      <c r="E42" s="110"/>
      <c r="F42" s="110"/>
      <c r="G42" s="159" t="s">
        <v>23</v>
      </c>
      <c r="H42" s="160"/>
      <c r="I42" s="110"/>
      <c r="J42" s="159" t="s">
        <v>24</v>
      </c>
      <c r="K42" s="160"/>
      <c r="L42" s="110"/>
      <c r="M42" s="159" t="s">
        <v>25</v>
      </c>
      <c r="N42" s="160"/>
      <c r="O42" s="110"/>
      <c r="P42" s="111"/>
      <c r="Q42" s="111"/>
      <c r="R42" s="112"/>
      <c r="S42" s="109"/>
    </row>
    <row r="43" spans="2:19" x14ac:dyDescent="0.2">
      <c r="B43" s="52"/>
      <c r="C43" s="109"/>
      <c r="D43" s="202" t="s">
        <v>26</v>
      </c>
      <c r="E43" s="202"/>
      <c r="F43" s="110"/>
      <c r="G43" s="161"/>
      <c r="H43" s="162"/>
      <c r="I43" s="110"/>
      <c r="J43" s="161"/>
      <c r="K43" s="162"/>
      <c r="L43" s="110"/>
      <c r="M43" s="161"/>
      <c r="N43" s="162"/>
      <c r="O43" s="110"/>
      <c r="P43" s="106"/>
      <c r="Q43" s="106"/>
      <c r="R43" s="110"/>
      <c r="S43" s="109"/>
    </row>
    <row r="44" spans="2:19" x14ac:dyDescent="0.2">
      <c r="B44" s="52"/>
      <c r="C44" s="113"/>
      <c r="D44" s="202"/>
      <c r="E44" s="202"/>
      <c r="F44" s="112"/>
      <c r="G44" s="161"/>
      <c r="H44" s="162"/>
      <c r="I44" s="112"/>
      <c r="J44" s="161"/>
      <c r="K44" s="162"/>
      <c r="L44" s="112"/>
      <c r="M44" s="161"/>
      <c r="N44" s="162"/>
      <c r="O44" s="112"/>
      <c r="P44" s="106"/>
      <c r="Q44" s="106"/>
      <c r="R44" s="110"/>
      <c r="S44" s="109"/>
    </row>
    <row r="45" spans="2:19" ht="18" customHeight="1" x14ac:dyDescent="0.2">
      <c r="B45" s="52"/>
      <c r="C45" s="113"/>
      <c r="D45" s="114">
        <f>Simulator!O5*-1</f>
        <v>0</v>
      </c>
      <c r="E45" s="115" t="str">
        <f>Simulator!D5</f>
        <v>kWh/day</v>
      </c>
      <c r="F45" s="112"/>
      <c r="G45" s="116">
        <f>Simulator!O18</f>
        <v>0</v>
      </c>
      <c r="H45" s="117" t="str">
        <f>Simulator!P18</f>
        <v>kW</v>
      </c>
      <c r="I45" s="112"/>
      <c r="J45" s="116">
        <f>Simulator!O19</f>
        <v>0</v>
      </c>
      <c r="K45" s="117" t="s">
        <v>157</v>
      </c>
      <c r="L45" s="112"/>
      <c r="M45" s="116">
        <f>Simulator!O20</f>
        <v>0</v>
      </c>
      <c r="N45" s="117" t="str">
        <f>Simulator!P20</f>
        <v>kW (cool)</v>
      </c>
      <c r="O45" s="112"/>
      <c r="P45" s="118"/>
      <c r="Q45" s="119"/>
      <c r="R45" s="110"/>
      <c r="S45" s="109"/>
    </row>
    <row r="46" spans="2:19" x14ac:dyDescent="0.2">
      <c r="B46" s="53"/>
      <c r="C46" s="120"/>
      <c r="D46" s="112"/>
      <c r="E46" s="112"/>
      <c r="F46" s="112"/>
      <c r="G46" s="112"/>
      <c r="H46" s="112"/>
      <c r="I46" s="112"/>
      <c r="J46" s="112"/>
      <c r="K46" s="112"/>
      <c r="L46" s="112"/>
      <c r="M46" s="112"/>
      <c r="N46" s="112"/>
      <c r="O46" s="112"/>
      <c r="P46" s="112"/>
      <c r="Q46" s="112"/>
      <c r="R46" s="110"/>
      <c r="S46" s="109"/>
    </row>
    <row r="47" spans="2:19" x14ac:dyDescent="0.2">
      <c r="B47" s="44"/>
      <c r="C47" s="121"/>
      <c r="D47" s="110"/>
      <c r="E47" s="110"/>
      <c r="F47" s="118"/>
      <c r="G47" s="112"/>
      <c r="H47" s="112"/>
      <c r="I47" s="118"/>
      <c r="J47" s="118"/>
      <c r="K47" s="112"/>
      <c r="L47" s="112"/>
      <c r="M47" s="112"/>
      <c r="N47" s="110"/>
      <c r="O47" s="110"/>
      <c r="P47" s="204" t="s">
        <v>27</v>
      </c>
      <c r="Q47" s="204"/>
      <c r="R47" s="110"/>
      <c r="S47" s="109"/>
    </row>
    <row r="48" spans="2:19" ht="15" customHeight="1" x14ac:dyDescent="0.2">
      <c r="B48" s="44"/>
      <c r="C48" s="121"/>
      <c r="D48" s="106"/>
      <c r="E48" s="122"/>
      <c r="F48" s="118"/>
      <c r="G48" s="118"/>
      <c r="H48" s="118"/>
      <c r="I48" s="118"/>
      <c r="J48" s="112"/>
      <c r="K48" s="112"/>
      <c r="L48" s="112"/>
      <c r="M48" s="110"/>
      <c r="N48" s="110"/>
      <c r="O48" s="110"/>
      <c r="P48" s="204"/>
      <c r="Q48" s="204"/>
      <c r="R48" s="118"/>
      <c r="S48" s="118"/>
    </row>
    <row r="49" spans="2:19" ht="15" customHeight="1" x14ac:dyDescent="0.2">
      <c r="B49" s="44"/>
      <c r="C49" s="121"/>
      <c r="D49" s="122"/>
      <c r="E49" s="122"/>
      <c r="F49" s="123"/>
      <c r="G49" s="123"/>
      <c r="H49" s="123"/>
      <c r="I49" s="118"/>
      <c r="J49" s="112"/>
      <c r="K49" s="112"/>
      <c r="L49" s="112"/>
      <c r="M49" s="110"/>
      <c r="N49" s="110"/>
      <c r="O49" s="110"/>
      <c r="P49" s="124">
        <f>Simulator!O12</f>
        <v>0</v>
      </c>
      <c r="Q49" s="125" t="str">
        <f>Simulator!D12</f>
        <v>kWh/day</v>
      </c>
      <c r="R49" s="118"/>
      <c r="S49" s="118"/>
    </row>
    <row r="50" spans="2:19" ht="15" customHeight="1" x14ac:dyDescent="0.2">
      <c r="B50" s="44"/>
      <c r="C50" s="121"/>
      <c r="D50" s="122"/>
      <c r="E50" s="122"/>
      <c r="F50" s="123"/>
      <c r="G50" s="123"/>
      <c r="H50" s="123"/>
      <c r="I50" s="118"/>
      <c r="J50" s="112"/>
      <c r="K50" s="118"/>
      <c r="L50" s="118"/>
      <c r="M50" s="122" t="s">
        <v>28</v>
      </c>
      <c r="N50" s="122"/>
      <c r="O50" s="110"/>
      <c r="P50" s="106"/>
      <c r="Q50" s="106"/>
      <c r="R50" s="110"/>
      <c r="S50" s="109"/>
    </row>
    <row r="51" spans="2:19" x14ac:dyDescent="0.2">
      <c r="B51" s="42"/>
      <c r="C51" s="113"/>
      <c r="D51" s="118"/>
      <c r="E51" s="118"/>
      <c r="F51" s="123"/>
      <c r="G51" s="123"/>
      <c r="H51" s="123"/>
      <c r="I51" s="118"/>
      <c r="J51" s="110"/>
      <c r="K51" s="110"/>
      <c r="L51" s="110"/>
      <c r="M51" s="122"/>
      <c r="N51" s="122"/>
      <c r="O51" s="110"/>
      <c r="P51" s="110"/>
      <c r="Q51" s="110"/>
      <c r="R51" s="110"/>
      <c r="S51" s="109"/>
    </row>
    <row r="52" spans="2:19" ht="15" customHeight="1" x14ac:dyDescent="0.2">
      <c r="B52" s="52"/>
      <c r="C52" s="113"/>
      <c r="D52" s="118"/>
      <c r="E52" s="118"/>
      <c r="F52" s="123"/>
      <c r="G52" s="200"/>
      <c r="H52" s="200"/>
      <c r="I52" s="110"/>
      <c r="J52" s="112"/>
      <c r="K52" s="126"/>
      <c r="L52" s="110"/>
      <c r="M52" s="106"/>
      <c r="N52" s="106"/>
      <c r="O52" s="110"/>
      <c r="P52" s="127"/>
      <c r="Q52" s="127"/>
      <c r="R52" s="110"/>
      <c r="S52" s="109"/>
    </row>
    <row r="53" spans="2:19" x14ac:dyDescent="0.2">
      <c r="B53" s="52"/>
      <c r="C53" s="113"/>
      <c r="D53" s="122"/>
      <c r="E53" s="122"/>
      <c r="F53" s="128"/>
      <c r="G53" s="200"/>
      <c r="H53" s="200"/>
      <c r="I53" s="110"/>
      <c r="J53" s="106"/>
      <c r="K53" s="118"/>
      <c r="L53" s="106"/>
      <c r="M53" s="106"/>
      <c r="N53" s="106"/>
      <c r="O53" s="110"/>
      <c r="P53" s="127"/>
      <c r="Q53" s="127"/>
      <c r="R53" s="110"/>
      <c r="S53" s="109"/>
    </row>
    <row r="54" spans="2:19" ht="15" customHeight="1" x14ac:dyDescent="0.2">
      <c r="B54" s="52"/>
      <c r="C54" s="113"/>
      <c r="D54" s="122"/>
      <c r="E54" s="122"/>
      <c r="F54" s="118"/>
      <c r="G54" s="200"/>
      <c r="H54" s="200"/>
      <c r="I54" s="112"/>
      <c r="J54" s="106"/>
      <c r="K54" s="118"/>
      <c r="L54" s="106"/>
      <c r="M54" s="203" t="s">
        <v>29</v>
      </c>
      <c r="N54" s="203"/>
      <c r="O54" s="112"/>
      <c r="P54" s="127"/>
      <c r="Q54" s="127"/>
      <c r="R54" s="110"/>
      <c r="S54" s="109"/>
    </row>
    <row r="55" spans="2:19" ht="15" customHeight="1" x14ac:dyDescent="0.2">
      <c r="B55" s="52"/>
      <c r="C55" s="113"/>
      <c r="D55" s="112"/>
      <c r="E55" s="118"/>
      <c r="F55" s="118"/>
      <c r="G55" s="205" t="s">
        <v>30</v>
      </c>
      <c r="H55" s="206"/>
      <c r="I55" s="112"/>
      <c r="J55" s="106"/>
      <c r="K55" s="112"/>
      <c r="L55" s="106"/>
      <c r="M55" s="203"/>
      <c r="N55" s="203"/>
      <c r="O55" s="112"/>
      <c r="P55" s="159" t="s">
        <v>31</v>
      </c>
      <c r="Q55" s="160"/>
      <c r="R55" s="110"/>
      <c r="S55" s="109"/>
    </row>
    <row r="56" spans="2:19" x14ac:dyDescent="0.2">
      <c r="B56" s="44"/>
      <c r="C56" s="121"/>
      <c r="D56" s="215" t="s">
        <v>32</v>
      </c>
      <c r="E56" s="215"/>
      <c r="F56" s="123"/>
      <c r="G56" s="207"/>
      <c r="H56" s="208"/>
      <c r="I56" s="118"/>
      <c r="J56" s="209" t="s">
        <v>33</v>
      </c>
      <c r="K56" s="209"/>
      <c r="L56" s="106"/>
      <c r="M56" s="129">
        <f>Simulator!O9</f>
        <v>0</v>
      </c>
      <c r="N56" s="130" t="str">
        <f>Simulator!D9</f>
        <v>kWh/day</v>
      </c>
      <c r="O56" s="110"/>
      <c r="P56" s="161"/>
      <c r="Q56" s="162"/>
      <c r="R56" s="110"/>
      <c r="S56" s="109"/>
    </row>
    <row r="57" spans="2:19" x14ac:dyDescent="0.2">
      <c r="B57" s="44"/>
      <c r="C57" s="121"/>
      <c r="D57" s="215"/>
      <c r="E57" s="215"/>
      <c r="F57" s="123"/>
      <c r="G57" s="207"/>
      <c r="H57" s="208"/>
      <c r="I57" s="118"/>
      <c r="J57" s="209"/>
      <c r="K57" s="209"/>
      <c r="L57" s="106"/>
      <c r="M57" s="106"/>
      <c r="N57" s="110"/>
      <c r="O57" s="110"/>
      <c r="P57" s="161"/>
      <c r="Q57" s="162"/>
      <c r="R57" s="110"/>
      <c r="S57" s="109"/>
    </row>
    <row r="58" spans="2:19" ht="15" customHeight="1" x14ac:dyDescent="0.2">
      <c r="B58" s="44"/>
      <c r="C58" s="121"/>
      <c r="D58" s="129">
        <f>Simulator!O7*-1</f>
        <v>0</v>
      </c>
      <c r="E58" s="118" t="str">
        <f>Simulator!D7</f>
        <v>kg/day</v>
      </c>
      <c r="F58" s="123"/>
      <c r="G58" s="116">
        <f>Simulator!O24</f>
        <v>0</v>
      </c>
      <c r="H58" s="117" t="str">
        <f>Simulator!P24</f>
        <v>kW</v>
      </c>
      <c r="I58" s="110"/>
      <c r="J58" s="114">
        <f>Simulator!O13</f>
        <v>0</v>
      </c>
      <c r="K58" s="130" t="str">
        <f>Simulator!D13</f>
        <v>kWh/day</v>
      </c>
      <c r="L58" s="106"/>
      <c r="M58" s="218" t="s">
        <v>34</v>
      </c>
      <c r="N58" s="218"/>
      <c r="O58" s="110"/>
      <c r="P58" s="116">
        <f>Simulator!O25</f>
        <v>0</v>
      </c>
      <c r="Q58" s="117" t="str">
        <f>Simulator!P25</f>
        <v>kW (cool)</v>
      </c>
      <c r="R58" s="110"/>
      <c r="S58" s="109"/>
    </row>
    <row r="59" spans="2:19" ht="15" customHeight="1" x14ac:dyDescent="0.2">
      <c r="B59" s="42"/>
      <c r="C59" s="106"/>
      <c r="D59" s="112"/>
      <c r="E59" s="118"/>
      <c r="F59" s="123"/>
      <c r="G59" s="106"/>
      <c r="H59" s="106"/>
      <c r="I59" s="110"/>
      <c r="J59" s="110"/>
      <c r="K59" s="118"/>
      <c r="L59" s="118"/>
      <c r="M59" s="218"/>
      <c r="N59" s="218"/>
      <c r="O59" s="110"/>
      <c r="P59" s="110"/>
      <c r="Q59" s="110"/>
      <c r="R59" s="110"/>
      <c r="S59" s="131"/>
    </row>
    <row r="60" spans="2:19" ht="16" x14ac:dyDescent="0.2">
      <c r="C60" s="109"/>
      <c r="D60" s="118"/>
      <c r="E60" s="118"/>
      <c r="F60" s="128"/>
      <c r="G60" s="106"/>
      <c r="H60" s="106"/>
      <c r="I60" s="110"/>
      <c r="J60" s="110"/>
      <c r="K60" s="118"/>
      <c r="L60" s="118"/>
      <c r="M60" s="114">
        <f>Simulator!O8*-1</f>
        <v>0</v>
      </c>
      <c r="N60" s="115" t="str">
        <f>Simulator!D8</f>
        <v>L/day</v>
      </c>
      <c r="O60" s="110"/>
      <c r="P60" s="110"/>
      <c r="Q60" s="110"/>
      <c r="R60" s="110"/>
      <c r="S60" s="131"/>
    </row>
    <row r="61" spans="2:19" x14ac:dyDescent="0.2">
      <c r="C61" s="109"/>
      <c r="D61" s="118"/>
      <c r="E61" s="118"/>
      <c r="F61" s="118"/>
      <c r="G61" s="106"/>
      <c r="H61" s="106"/>
      <c r="I61" s="110"/>
      <c r="J61" s="110"/>
      <c r="K61" s="118"/>
      <c r="L61" s="118"/>
      <c r="M61" s="132"/>
      <c r="N61" s="132"/>
      <c r="O61" s="110"/>
      <c r="P61" s="221"/>
      <c r="Q61" s="221"/>
      <c r="R61" s="110"/>
      <c r="S61" s="109"/>
    </row>
    <row r="62" spans="2:19" ht="15" customHeight="1" x14ac:dyDescent="0.2">
      <c r="C62" s="109"/>
      <c r="D62" s="118"/>
      <c r="E62" s="118"/>
      <c r="F62" s="118"/>
      <c r="G62" s="118"/>
      <c r="H62" s="118"/>
      <c r="I62" s="118"/>
      <c r="J62" s="110"/>
      <c r="K62" s="110"/>
      <c r="L62" s="110"/>
      <c r="M62" s="119"/>
      <c r="N62" s="133"/>
      <c r="O62" s="110"/>
      <c r="P62" s="221"/>
      <c r="Q62" s="221"/>
      <c r="R62" s="110"/>
      <c r="S62" s="109"/>
    </row>
    <row r="63" spans="2:19" x14ac:dyDescent="0.2">
      <c r="C63" s="109"/>
      <c r="D63" s="106"/>
      <c r="E63" s="106"/>
      <c r="F63" s="106"/>
      <c r="G63" s="106"/>
      <c r="H63" s="106"/>
      <c r="I63" s="106"/>
      <c r="J63" s="106"/>
      <c r="K63" s="106"/>
      <c r="L63" s="106"/>
      <c r="M63" s="106"/>
      <c r="N63" s="106"/>
      <c r="O63" s="106"/>
      <c r="P63" s="106"/>
      <c r="Q63" s="106"/>
      <c r="R63" s="106"/>
      <c r="S63" s="109"/>
    </row>
    <row r="64" spans="2:19" ht="15" customHeight="1" x14ac:dyDescent="0.2">
      <c r="C64" s="109"/>
      <c r="D64" s="118"/>
      <c r="E64" s="118"/>
      <c r="F64" s="118"/>
      <c r="G64" s="118"/>
      <c r="H64" s="118"/>
      <c r="I64" s="110"/>
      <c r="J64" s="110"/>
      <c r="K64" s="110"/>
      <c r="L64" s="110"/>
      <c r="M64" s="110"/>
      <c r="N64" s="110"/>
      <c r="O64" s="110"/>
      <c r="P64" s="110"/>
      <c r="Q64" s="110"/>
      <c r="R64" s="110"/>
      <c r="S64" s="109"/>
    </row>
    <row r="65" spans="3:19" ht="15" customHeight="1" x14ac:dyDescent="0.2">
      <c r="C65" s="109"/>
      <c r="D65" s="118"/>
      <c r="E65" s="118"/>
      <c r="F65" s="110"/>
      <c r="G65" s="159" t="s">
        <v>35</v>
      </c>
      <c r="H65" s="160"/>
      <c r="I65" s="110"/>
      <c r="J65" s="159" t="s">
        <v>36</v>
      </c>
      <c r="K65" s="160"/>
      <c r="L65" s="110"/>
      <c r="M65" s="159" t="s">
        <v>37</v>
      </c>
      <c r="N65" s="160"/>
      <c r="O65" s="110"/>
      <c r="P65" s="159" t="s">
        <v>38</v>
      </c>
      <c r="Q65" s="160"/>
      <c r="R65" s="110"/>
      <c r="S65" s="109"/>
    </row>
    <row r="66" spans="3:19" ht="15" customHeight="1" x14ac:dyDescent="0.2">
      <c r="C66" s="109"/>
      <c r="D66" s="214" t="s">
        <v>39</v>
      </c>
      <c r="E66" s="214"/>
      <c r="F66" s="110"/>
      <c r="G66" s="161"/>
      <c r="H66" s="162"/>
      <c r="I66" s="110"/>
      <c r="J66" s="161"/>
      <c r="K66" s="162"/>
      <c r="L66" s="110"/>
      <c r="M66" s="161"/>
      <c r="N66" s="162"/>
      <c r="O66" s="110"/>
      <c r="P66" s="161"/>
      <c r="Q66" s="162"/>
      <c r="R66" s="110"/>
      <c r="S66" s="109"/>
    </row>
    <row r="67" spans="3:19" ht="15" customHeight="1" x14ac:dyDescent="0.2">
      <c r="C67" s="109"/>
      <c r="D67" s="214"/>
      <c r="E67" s="214"/>
      <c r="F67" s="110"/>
      <c r="G67" s="161"/>
      <c r="H67" s="162"/>
      <c r="I67" s="110"/>
      <c r="J67" s="161"/>
      <c r="K67" s="162"/>
      <c r="L67" s="110"/>
      <c r="M67" s="161"/>
      <c r="N67" s="162"/>
      <c r="O67" s="110"/>
      <c r="P67" s="161"/>
      <c r="Q67" s="162"/>
      <c r="R67" s="110"/>
      <c r="S67" s="109"/>
    </row>
    <row r="68" spans="3:19" ht="16" x14ac:dyDescent="0.2">
      <c r="C68" s="109"/>
      <c r="D68" s="124">
        <f>Simulator!O6*-1</f>
        <v>0</v>
      </c>
      <c r="E68" s="106" t="s">
        <v>158</v>
      </c>
      <c r="F68" s="110"/>
      <c r="G68" s="116">
        <f>Simulator!O21</f>
        <v>0</v>
      </c>
      <c r="H68" s="117" t="str">
        <f>Simulator!P21</f>
        <v>kW</v>
      </c>
      <c r="I68" s="110"/>
      <c r="J68" s="116">
        <f>Simulator!O23</f>
        <v>0</v>
      </c>
      <c r="K68" s="117" t="s">
        <v>157</v>
      </c>
      <c r="L68" s="110"/>
      <c r="M68" s="116">
        <f>Simulator!O22</f>
        <v>0</v>
      </c>
      <c r="N68" s="117" t="str">
        <f>Simulator!P22</f>
        <v>kW</v>
      </c>
      <c r="O68" s="110"/>
      <c r="P68" s="116">
        <f>Simulator!O26</f>
        <v>0</v>
      </c>
      <c r="Q68" s="117" t="s">
        <v>157</v>
      </c>
      <c r="R68" s="110"/>
      <c r="S68" s="109"/>
    </row>
    <row r="69" spans="3:19" x14ac:dyDescent="0.2">
      <c r="C69" s="109"/>
      <c r="D69" s="110"/>
      <c r="E69" s="110"/>
      <c r="F69" s="110"/>
      <c r="G69" s="134"/>
      <c r="H69" s="134"/>
      <c r="I69" s="110"/>
      <c r="J69" s="135"/>
      <c r="K69" s="110"/>
      <c r="L69" s="110"/>
      <c r="M69" s="132"/>
      <c r="N69" s="132"/>
      <c r="O69" s="110"/>
      <c r="P69" s="110"/>
      <c r="Q69" s="110"/>
      <c r="R69" s="110"/>
      <c r="S69" s="109"/>
    </row>
    <row r="70" spans="3:19" x14ac:dyDescent="0.2">
      <c r="C70" s="109"/>
      <c r="D70" s="106"/>
      <c r="E70" s="106"/>
      <c r="F70" s="110"/>
      <c r="G70" s="106"/>
      <c r="H70" s="106"/>
      <c r="I70" s="110"/>
      <c r="J70" s="132"/>
      <c r="K70" s="136"/>
      <c r="L70" s="110"/>
      <c r="M70" s="119"/>
      <c r="N70" s="133"/>
      <c r="O70" s="110"/>
      <c r="P70" s="110"/>
      <c r="Q70" s="110"/>
      <c r="R70" s="110"/>
      <c r="S70" s="109"/>
    </row>
    <row r="71" spans="3:19" x14ac:dyDescent="0.2">
      <c r="C71" s="109"/>
      <c r="D71" s="106"/>
      <c r="E71" s="106"/>
      <c r="F71" s="110"/>
      <c r="G71" s="123"/>
      <c r="H71" s="123"/>
      <c r="I71" s="110"/>
      <c r="J71" s="132"/>
      <c r="K71" s="158" t="s">
        <v>40</v>
      </c>
      <c r="L71" s="158"/>
      <c r="M71" s="110"/>
      <c r="N71" s="110"/>
      <c r="O71" s="110"/>
      <c r="P71" s="110"/>
      <c r="Q71" s="106"/>
      <c r="R71" s="110"/>
      <c r="S71" s="109"/>
    </row>
    <row r="72" spans="3:19" x14ac:dyDescent="0.2">
      <c r="C72" s="109"/>
      <c r="D72" s="110"/>
      <c r="E72" s="110"/>
      <c r="F72" s="110"/>
      <c r="G72" s="123"/>
      <c r="H72" s="123"/>
      <c r="I72" s="110"/>
      <c r="J72" s="132"/>
      <c r="K72" s="158"/>
      <c r="L72" s="158"/>
      <c r="M72" s="110"/>
      <c r="N72" s="110"/>
      <c r="O72" s="110"/>
      <c r="P72" s="110"/>
      <c r="Q72" s="106"/>
      <c r="R72" s="110"/>
      <c r="S72" s="109"/>
    </row>
    <row r="73" spans="3:19" ht="16" x14ac:dyDescent="0.2">
      <c r="C73" s="109"/>
      <c r="D73" s="110"/>
      <c r="E73" s="110"/>
      <c r="F73" s="110"/>
      <c r="G73" s="132"/>
      <c r="H73" s="132"/>
      <c r="I73" s="110"/>
      <c r="J73" s="110"/>
      <c r="K73" s="114">
        <f>Simulator!O11</f>
        <v>0</v>
      </c>
      <c r="L73" s="106" t="s">
        <v>158</v>
      </c>
      <c r="M73" s="110"/>
      <c r="N73" s="110"/>
      <c r="O73" s="110"/>
      <c r="P73" s="110"/>
      <c r="Q73" s="110"/>
      <c r="R73" s="110"/>
      <c r="S73" s="109"/>
    </row>
    <row r="74" spans="3:19" ht="16" thickBot="1" x14ac:dyDescent="0.25">
      <c r="C74" s="109"/>
      <c r="D74" s="110"/>
      <c r="E74" s="110"/>
      <c r="F74" s="110"/>
      <c r="G74" s="132"/>
      <c r="H74" s="132"/>
      <c r="I74" s="110"/>
      <c r="J74" s="110"/>
      <c r="K74" s="110"/>
      <c r="L74" s="110"/>
      <c r="M74" s="110"/>
      <c r="N74" s="110"/>
      <c r="O74" s="110"/>
      <c r="P74" s="110"/>
      <c r="Q74" s="110"/>
      <c r="R74" s="110"/>
      <c r="S74" s="109"/>
    </row>
    <row r="75" spans="3:19" ht="15" customHeight="1" x14ac:dyDescent="0.2">
      <c r="C75" s="109"/>
      <c r="D75" s="110"/>
      <c r="E75" s="110"/>
      <c r="F75" s="220"/>
      <c r="G75" s="180" t="s">
        <v>167</v>
      </c>
      <c r="H75" s="181"/>
      <c r="I75" s="181"/>
      <c r="J75" s="181"/>
      <c r="K75" s="182"/>
      <c r="L75" s="189">
        <f>Simulator!O14</f>
        <v>0</v>
      </c>
      <c r="M75" s="190"/>
      <c r="N75" s="211" t="str">
        <f>Simulator!D14</f>
        <v>kg</v>
      </c>
      <c r="O75" s="112"/>
      <c r="P75" s="118"/>
      <c r="Q75" s="118"/>
      <c r="R75" s="118"/>
      <c r="S75" s="109"/>
    </row>
    <row r="76" spans="3:19" x14ac:dyDescent="0.2">
      <c r="C76" s="109"/>
      <c r="D76" s="110"/>
      <c r="E76" s="110"/>
      <c r="F76" s="220"/>
      <c r="G76" s="183"/>
      <c r="H76" s="184"/>
      <c r="I76" s="184"/>
      <c r="J76" s="184"/>
      <c r="K76" s="185"/>
      <c r="L76" s="191"/>
      <c r="M76" s="192"/>
      <c r="N76" s="212"/>
      <c r="O76" s="112"/>
      <c r="P76" s="118"/>
      <c r="Q76" s="118"/>
      <c r="R76" s="118"/>
      <c r="S76" s="109"/>
    </row>
    <row r="77" spans="3:19" ht="16" thickBot="1" x14ac:dyDescent="0.25">
      <c r="C77" s="109"/>
      <c r="D77" s="110"/>
      <c r="E77" s="110"/>
      <c r="F77" s="220"/>
      <c r="G77" s="186"/>
      <c r="H77" s="187"/>
      <c r="I77" s="187"/>
      <c r="J77" s="187"/>
      <c r="K77" s="188"/>
      <c r="L77" s="193"/>
      <c r="M77" s="194"/>
      <c r="N77" s="213"/>
      <c r="O77" s="112"/>
      <c r="P77" s="118"/>
      <c r="Q77" s="118"/>
      <c r="R77" s="118"/>
      <c r="S77" s="109"/>
    </row>
    <row r="78" spans="3:19" x14ac:dyDescent="0.2">
      <c r="C78" s="109"/>
      <c r="D78" s="109"/>
      <c r="E78" s="109"/>
      <c r="F78" s="109"/>
      <c r="G78" s="180" t="s">
        <v>41</v>
      </c>
      <c r="H78" s="181"/>
      <c r="I78" s="181"/>
      <c r="J78" s="181"/>
      <c r="K78" s="182"/>
      <c r="L78" s="189">
        <f>Simulator!O53</f>
        <v>0</v>
      </c>
      <c r="M78" s="190"/>
      <c r="N78" s="211" t="str">
        <f>Simulator!P53</f>
        <v>Php</v>
      </c>
      <c r="O78" s="109"/>
      <c r="P78" s="109"/>
      <c r="Q78" s="109"/>
      <c r="R78" s="109"/>
      <c r="S78" s="109"/>
    </row>
    <row r="79" spans="3:19" x14ac:dyDescent="0.2">
      <c r="C79" s="109"/>
      <c r="D79" s="109"/>
      <c r="E79" s="109"/>
      <c r="F79" s="109"/>
      <c r="G79" s="183"/>
      <c r="H79" s="184"/>
      <c r="I79" s="184"/>
      <c r="J79" s="184"/>
      <c r="K79" s="185"/>
      <c r="L79" s="191"/>
      <c r="M79" s="192"/>
      <c r="N79" s="212"/>
      <c r="O79" s="109"/>
      <c r="P79" s="109"/>
      <c r="Q79" s="109"/>
      <c r="R79" s="109"/>
      <c r="S79" s="109"/>
    </row>
    <row r="80" spans="3:19" ht="16" thickBot="1" x14ac:dyDescent="0.25">
      <c r="C80" s="109"/>
      <c r="D80" s="109"/>
      <c r="E80" s="109"/>
      <c r="F80" s="109"/>
      <c r="G80" s="186"/>
      <c r="H80" s="187"/>
      <c r="I80" s="187"/>
      <c r="J80" s="187"/>
      <c r="K80" s="188"/>
      <c r="L80" s="193"/>
      <c r="M80" s="194"/>
      <c r="N80" s="213"/>
      <c r="O80" s="109"/>
      <c r="P80" s="109"/>
      <c r="Q80" s="109"/>
      <c r="R80" s="109"/>
      <c r="S80" s="109"/>
    </row>
    <row r="81" spans="3:26" x14ac:dyDescent="0.2"/>
    <row r="82" spans="3:26" x14ac:dyDescent="0.2">
      <c r="C82" s="210" t="s">
        <v>163</v>
      </c>
      <c r="D82" s="210"/>
      <c r="E82" s="210"/>
      <c r="F82" s="210"/>
      <c r="G82" s="210"/>
      <c r="H82" s="210"/>
      <c r="I82" s="210"/>
      <c r="J82" s="210"/>
      <c r="K82" s="210"/>
      <c r="L82" s="210"/>
      <c r="M82" s="210"/>
      <c r="N82" s="210"/>
      <c r="O82" s="210"/>
      <c r="P82" s="210"/>
      <c r="Q82" s="210"/>
      <c r="R82" s="210"/>
      <c r="S82"/>
      <c r="X82" s="46"/>
    </row>
    <row r="83" spans="3:26" ht="15" customHeight="1" x14ac:dyDescent="0.2">
      <c r="C83" s="210"/>
      <c r="D83" s="210"/>
      <c r="E83" s="210"/>
      <c r="F83" s="210"/>
      <c r="G83" s="210"/>
      <c r="H83" s="210"/>
      <c r="I83" s="210"/>
      <c r="J83" s="210"/>
      <c r="K83" s="210"/>
      <c r="L83" s="210"/>
      <c r="M83" s="210"/>
      <c r="N83" s="210"/>
      <c r="O83" s="210"/>
      <c r="P83" s="210"/>
      <c r="Q83" s="210"/>
      <c r="R83" s="210"/>
    </row>
    <row r="84" spans="3:26" ht="15" customHeight="1" x14ac:dyDescent="0.2">
      <c r="C84" s="210"/>
      <c r="D84" s="210"/>
      <c r="E84" s="210"/>
      <c r="F84" s="210"/>
      <c r="G84" s="210"/>
      <c r="H84" s="210"/>
      <c r="I84" s="210"/>
      <c r="J84" s="210"/>
      <c r="K84" s="210"/>
      <c r="L84" s="210"/>
      <c r="M84" s="210"/>
      <c r="N84" s="210"/>
      <c r="O84" s="210"/>
      <c r="P84" s="210"/>
      <c r="Q84" s="210"/>
      <c r="R84" s="210"/>
    </row>
    <row r="85" spans="3:26" ht="15" customHeight="1" x14ac:dyDescent="0.2"/>
    <row r="86" spans="3:26" ht="15" customHeight="1" x14ac:dyDescent="0.2"/>
    <row r="87" spans="3:26" x14ac:dyDescent="0.2">
      <c r="X87" s="39"/>
      <c r="Y87" s="47"/>
      <c r="Z87" s="39"/>
    </row>
    <row r="88" spans="3:26" x14ac:dyDescent="0.2">
      <c r="X88" s="39"/>
      <c r="Y88" s="47"/>
      <c r="Z88" s="39"/>
    </row>
    <row r="89" spans="3:26" x14ac:dyDescent="0.2">
      <c r="X89" s="39"/>
      <c r="Y89" s="47"/>
      <c r="Z89" s="39"/>
    </row>
    <row r="90" spans="3:26" x14ac:dyDescent="0.2">
      <c r="X90" s="39"/>
      <c r="Y90" s="47"/>
      <c r="Z90" s="39"/>
    </row>
    <row r="91" spans="3:26" x14ac:dyDescent="0.2">
      <c r="X91" s="39"/>
      <c r="Y91" s="47"/>
      <c r="Z91" s="39"/>
    </row>
    <row r="92" spans="3:26" x14ac:dyDescent="0.2">
      <c r="X92" s="39"/>
      <c r="Y92" s="47"/>
      <c r="Z92" s="39"/>
    </row>
    <row r="93" spans="3:26" x14ac:dyDescent="0.2">
      <c r="X93" s="39"/>
      <c r="Y93" s="47"/>
      <c r="Z93" s="39"/>
    </row>
    <row r="94" spans="3:26" x14ac:dyDescent="0.2">
      <c r="X94" s="39"/>
      <c r="Y94" s="47"/>
      <c r="Z94" s="39"/>
    </row>
    <row r="95" spans="3:26" x14ac:dyDescent="0.2">
      <c r="X95" s="39"/>
      <c r="Y95" s="47"/>
      <c r="Z95" s="39"/>
    </row>
    <row r="96" spans="3:26" x14ac:dyDescent="0.2">
      <c r="X96" s="39"/>
      <c r="Y96" s="47"/>
      <c r="Z96" s="39"/>
    </row>
    <row r="97" spans="24:26" x14ac:dyDescent="0.2">
      <c r="X97" s="39"/>
      <c r="Y97" s="47"/>
      <c r="Z97" s="39"/>
    </row>
    <row r="98" spans="24:26" x14ac:dyDescent="0.2">
      <c r="X98" s="39"/>
      <c r="Y98" s="47"/>
      <c r="Z98" s="39"/>
    </row>
    <row r="99" spans="24:26" ht="15" customHeight="1" x14ac:dyDescent="0.2"/>
    <row r="100" spans="24:26" ht="15" customHeight="1" x14ac:dyDescent="0.2"/>
    <row r="101" spans="24:26" ht="15" customHeight="1" x14ac:dyDescent="0.2"/>
    <row r="102" spans="24:26" ht="15" customHeight="1" x14ac:dyDescent="0.2"/>
    <row r="103" spans="24:26" ht="15" customHeight="1" x14ac:dyDescent="0.2"/>
    <row r="104" spans="24:26" ht="15" customHeight="1" x14ac:dyDescent="0.2"/>
    <row r="105" spans="24:26" ht="15" customHeight="1" x14ac:dyDescent="0.2"/>
    <row r="106" spans="24:26" ht="15" customHeight="1" x14ac:dyDescent="0.2"/>
    <row r="107" spans="24:26" ht="15" customHeight="1" x14ac:dyDescent="0.2"/>
    <row r="108" spans="24:26" ht="15" customHeight="1" x14ac:dyDescent="0.2"/>
    <row r="109" spans="24:26" ht="15" customHeight="1" x14ac:dyDescent="0.2"/>
    <row r="110" spans="24:26" ht="15" customHeight="1" x14ac:dyDescent="0.2"/>
    <row r="111" spans="24:26" ht="15" customHeight="1" x14ac:dyDescent="0.2"/>
    <row r="112" spans="24:26" ht="15" customHeight="1" x14ac:dyDescent="0.2"/>
    <row r="113" ht="15" customHeight="1" x14ac:dyDescent="0.2"/>
    <row r="114" ht="15" customHeight="1" x14ac:dyDescent="0.2"/>
    <row r="115" ht="15" customHeight="1" x14ac:dyDescent="0.2"/>
    <row r="116" ht="15" customHeight="1" x14ac:dyDescent="0.2"/>
  </sheetData>
  <mergeCells count="54">
    <mergeCell ref="C82:R84"/>
    <mergeCell ref="C19:R19"/>
    <mergeCell ref="C20:R20"/>
    <mergeCell ref="C21:R21"/>
    <mergeCell ref="C26:R28"/>
    <mergeCell ref="N78:N80"/>
    <mergeCell ref="N75:N77"/>
    <mergeCell ref="D66:E67"/>
    <mergeCell ref="P55:Q57"/>
    <mergeCell ref="D56:E57"/>
    <mergeCell ref="C30:J34"/>
    <mergeCell ref="K30:R30"/>
    <mergeCell ref="M58:N59"/>
    <mergeCell ref="J38:K39"/>
    <mergeCell ref="F75:F77"/>
    <mergeCell ref="P61:Q62"/>
    <mergeCell ref="C29:R29"/>
    <mergeCell ref="G52:H54"/>
    <mergeCell ref="C35:R35"/>
    <mergeCell ref="G42:H44"/>
    <mergeCell ref="J42:K44"/>
    <mergeCell ref="M42:N44"/>
    <mergeCell ref="D43:E44"/>
    <mergeCell ref="M54:N55"/>
    <mergeCell ref="P47:Q48"/>
    <mergeCell ref="G55:H57"/>
    <mergeCell ref="J56:K57"/>
    <mergeCell ref="G78:K80"/>
    <mergeCell ref="L78:M80"/>
    <mergeCell ref="G75:K77"/>
    <mergeCell ref="L75:M77"/>
    <mergeCell ref="B3:S5"/>
    <mergeCell ref="M7:R7"/>
    <mergeCell ref="M8:R8"/>
    <mergeCell ref="I7:L7"/>
    <mergeCell ref="I8:L8"/>
    <mergeCell ref="D7:G7"/>
    <mergeCell ref="D8:G8"/>
    <mergeCell ref="D9:G9"/>
    <mergeCell ref="D11:G16"/>
    <mergeCell ref="M9:R9"/>
    <mergeCell ref="I9:L9"/>
    <mergeCell ref="P15:Q16"/>
    <mergeCell ref="I11:L16"/>
    <mergeCell ref="N11:O12"/>
    <mergeCell ref="P11:Q12"/>
    <mergeCell ref="N13:O14"/>
    <mergeCell ref="P13:Q14"/>
    <mergeCell ref="N15:O16"/>
    <mergeCell ref="K71:L72"/>
    <mergeCell ref="P65:Q67"/>
    <mergeCell ref="G65:H67"/>
    <mergeCell ref="J65:K67"/>
    <mergeCell ref="M65:N67"/>
  </mergeCells>
  <conditionalFormatting sqref="G42:H45">
    <cfRule type="expression" dxfId="9" priority="9">
      <formula>$G$45&lt;0.01</formula>
    </cfRule>
  </conditionalFormatting>
  <conditionalFormatting sqref="J42:K45">
    <cfRule type="expression" dxfId="8" priority="10">
      <formula>$J$45&lt;0.01</formula>
    </cfRule>
  </conditionalFormatting>
  <conditionalFormatting sqref="M42:N45">
    <cfRule type="expression" dxfId="7" priority="8">
      <formula>$M$45&lt;0.01</formula>
    </cfRule>
  </conditionalFormatting>
  <conditionalFormatting sqref="G58:H58 G55">
    <cfRule type="expression" dxfId="6" priority="6">
      <formula>$G$58&lt;0.01</formula>
    </cfRule>
  </conditionalFormatting>
  <conditionalFormatting sqref="G65:H68">
    <cfRule type="expression" dxfId="5" priority="5">
      <formula>$G$68&lt;0.01</formula>
    </cfRule>
  </conditionalFormatting>
  <conditionalFormatting sqref="J65:K68">
    <cfRule type="expression" dxfId="4" priority="4">
      <formula>$J$68&lt;0.01</formula>
    </cfRule>
  </conditionalFormatting>
  <conditionalFormatting sqref="M65:N68">
    <cfRule type="expression" dxfId="3" priority="3">
      <formula>$M$68&lt;0.01</formula>
    </cfRule>
  </conditionalFormatting>
  <conditionalFormatting sqref="P65:Q68">
    <cfRule type="expression" dxfId="2" priority="2">
      <formula>$P$68&lt;0.01</formula>
    </cfRule>
  </conditionalFormatting>
  <conditionalFormatting sqref="P55:Q58">
    <cfRule type="expression" dxfId="1" priority="1">
      <formula>$P$58&lt;0.01</formula>
    </cfRule>
  </conditionalFormatting>
  <conditionalFormatting sqref="G52:H54">
    <cfRule type="expression" dxfId="0" priority="11">
      <formula>#REF!&lt;0.01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5" r:id="rId3" name="Button 11">
              <controlPr defaultSize="0" print="0" autoFill="0" autoPict="0" macro="[0]!Max_Profit">
                <anchor moveWithCells="1" sizeWithCells="1">
                  <from>
                    <xdr:col>5</xdr:col>
                    <xdr:colOff>596900</xdr:colOff>
                    <xdr:row>21</xdr:row>
                    <xdr:rowOff>165100</xdr:rowOff>
                  </from>
                  <to>
                    <xdr:col>7</xdr:col>
                    <xdr:colOff>342900</xdr:colOff>
                    <xdr:row>23</xdr:row>
                    <xdr:rowOff>152400</xdr:rowOff>
                  </to>
                </anchor>
              </controlPr>
            </control>
          </mc:Choice>
        </mc:AlternateContent>
        <mc:AlternateContent xmlns:mc="http://schemas.openxmlformats.org/markup-compatibility/2006">
          <mc:Choice Requires="x14">
            <control shapeId="1036" r:id="rId4" name="Button 12">
              <controlPr defaultSize="0" print="0" autoFill="0" autoPict="0" macro="[0]!Min_CO2">
                <anchor moveWithCells="1" sizeWithCells="1">
                  <from>
                    <xdr:col>7</xdr:col>
                    <xdr:colOff>673100</xdr:colOff>
                    <xdr:row>21</xdr:row>
                    <xdr:rowOff>152400</xdr:rowOff>
                  </from>
                  <to>
                    <xdr:col>9</xdr:col>
                    <xdr:colOff>546100</xdr:colOff>
                    <xdr:row>23</xdr:row>
                    <xdr:rowOff>139700</xdr:rowOff>
                  </to>
                </anchor>
              </controlPr>
            </control>
          </mc:Choice>
        </mc:AlternateContent>
        <mc:AlternateContent xmlns:mc="http://schemas.openxmlformats.org/markup-compatibility/2006">
          <mc:Choice Requires="x14">
            <control shapeId="1049" r:id="rId5" name="Button 25">
              <controlPr defaultSize="0" print="0" autoFill="0" autoPict="0" macro="[0]!Epsilon">
                <anchor moveWithCells="1" sizeWithCells="1">
                  <from>
                    <xdr:col>9</xdr:col>
                    <xdr:colOff>876300</xdr:colOff>
                    <xdr:row>21</xdr:row>
                    <xdr:rowOff>139700</xdr:rowOff>
                  </from>
                  <to>
                    <xdr:col>12</xdr:col>
                    <xdr:colOff>139700</xdr:colOff>
                    <xdr:row>23</xdr:row>
                    <xdr:rowOff>127000</xdr:rowOff>
                  </to>
                </anchor>
              </controlPr>
            </control>
          </mc:Choice>
        </mc:AlternateContent>
        <mc:AlternateContent xmlns:mc="http://schemas.openxmlformats.org/markup-compatibility/2006">
          <mc:Choice Requires="x14">
            <control shapeId="1057" r:id="rId6" name="Button 33">
              <controlPr defaultSize="0" print="0" autoFill="0" autoPict="0" macro="[0]!_xludf.Clear">
                <anchor moveWithCells="1" sizeWithCells="1">
                  <from>
                    <xdr:col>12</xdr:col>
                    <xdr:colOff>431800</xdr:colOff>
                    <xdr:row>21</xdr:row>
                    <xdr:rowOff>139700</xdr:rowOff>
                  </from>
                  <to>
                    <xdr:col>14</xdr:col>
                    <xdr:colOff>177800</xdr:colOff>
                    <xdr:row>23</xdr:row>
                    <xdr:rowOff>127000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DE6F57D-8883-7F4F-8DE8-EA80EA161B1A}">
          <x14:formula1>
            <xm:f>'Energy Availability'!$C$25:$C$26</xm:f>
          </x14:formula1>
          <xm:sqref>D11</xm:sqref>
        </x14:dataValidation>
        <x14:dataValidation type="list" allowBlank="1" showInputMessage="1" showErrorMessage="1" xr:uid="{F573EB8C-2E06-ED42-BE54-7D64F16AD146}">
          <x14:formula1>
            <xm:f>'Energy Availability'!$C$31:$C$32</xm:f>
          </x14:formula1>
          <xm:sqref>I11:L16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9FEFD-8FA4-3143-8003-B572282BB60E}">
  <sheetPr codeName="Sheet1"/>
  <dimension ref="B1:AS70"/>
  <sheetViews>
    <sheetView topLeftCell="C1" zoomScale="56" zoomScaleNormal="120" zoomScaleSheetLayoutView="43" workbookViewId="0">
      <selection activeCell="S44" sqref="S44"/>
    </sheetView>
  </sheetViews>
  <sheetFormatPr baseColWidth="10" defaultColWidth="10.83203125" defaultRowHeight="15" x14ac:dyDescent="0.2"/>
  <cols>
    <col min="1" max="1" width="3.5" style="39" bestFit="1" customWidth="1"/>
    <col min="2" max="2" width="6.5" style="39" customWidth="1"/>
    <col min="3" max="3" width="32.5" style="39" customWidth="1"/>
    <col min="4" max="4" width="11.6640625" style="39" customWidth="1"/>
    <col min="5" max="5" width="10.83203125" style="39" customWidth="1"/>
    <col min="6" max="6" width="12.83203125" style="39" bestFit="1" customWidth="1"/>
    <col min="7" max="7" width="12.5" style="39" bestFit="1" customWidth="1"/>
    <col min="8" max="8" width="10.83203125" style="39" customWidth="1"/>
    <col min="9" max="9" width="12.83203125" style="39" bestFit="1" customWidth="1"/>
    <col min="10" max="10" width="12.83203125" style="39" customWidth="1"/>
    <col min="11" max="11" width="14.5" style="39" bestFit="1" customWidth="1"/>
    <col min="12" max="12" width="12.6640625" style="39" bestFit="1" customWidth="1"/>
    <col min="13" max="13" width="14.6640625" style="39" bestFit="1" customWidth="1"/>
    <col min="14" max="14" width="33.1640625" style="39" customWidth="1"/>
    <col min="15" max="15" width="17.1640625" style="39" customWidth="1"/>
    <col min="16" max="16" width="12.83203125" style="39" bestFit="1" customWidth="1"/>
    <col min="17" max="17" width="5.83203125" style="39" customWidth="1"/>
    <col min="18" max="18" width="16.5" style="39" bestFit="1" customWidth="1"/>
    <col min="19" max="19" width="17" style="39" customWidth="1"/>
    <col min="20" max="20" width="13.6640625" style="39" bestFit="1" customWidth="1"/>
    <col min="21" max="21" width="11.83203125" style="39" bestFit="1" customWidth="1"/>
    <col min="22" max="23" width="12.5" style="39" bestFit="1" customWidth="1"/>
    <col min="24" max="24" width="11" style="39" bestFit="1" customWidth="1"/>
    <col min="25" max="25" width="33" style="39" customWidth="1"/>
    <col min="26" max="26" width="13.83203125" style="39" bestFit="1" customWidth="1"/>
    <col min="27" max="27" width="14.5" style="39" bestFit="1" customWidth="1"/>
    <col min="28" max="28" width="13.83203125" style="39" bestFit="1" customWidth="1"/>
    <col min="29" max="29" width="13.33203125" style="39" bestFit="1" customWidth="1"/>
    <col min="30" max="31" width="14.33203125" style="39" bestFit="1" customWidth="1"/>
    <col min="32" max="32" width="14.5" style="39" bestFit="1" customWidth="1"/>
    <col min="33" max="33" width="13.6640625" style="39" bestFit="1" customWidth="1"/>
    <col min="34" max="34" width="14.33203125" style="39" bestFit="1" customWidth="1"/>
    <col min="35" max="35" width="14.5" style="39" bestFit="1" customWidth="1"/>
    <col min="36" max="16384" width="10.83203125" style="39"/>
  </cols>
  <sheetData>
    <row r="1" spans="2:45" x14ac:dyDescent="0.2">
      <c r="X1" s="2"/>
      <c r="Y1" s="2"/>
      <c r="Z1" s="2"/>
      <c r="AA1" s="2"/>
      <c r="AB1" s="2"/>
      <c r="AC1" s="2"/>
      <c r="AD1" s="2"/>
      <c r="AE1" s="2"/>
      <c r="AF1" s="2"/>
      <c r="AG1" s="2"/>
      <c r="AH1" s="2"/>
      <c r="AI1" s="2"/>
      <c r="AJ1" s="2"/>
      <c r="AK1" s="2"/>
      <c r="AL1" s="2"/>
      <c r="AM1" s="2"/>
      <c r="AN1" s="2"/>
      <c r="AO1" s="2"/>
      <c r="AP1" s="2"/>
      <c r="AQ1" s="2"/>
      <c r="AR1" s="2"/>
      <c r="AS1" s="2"/>
    </row>
    <row r="2" spans="2:45" x14ac:dyDescent="0.2">
      <c r="B2" s="234" t="s">
        <v>42</v>
      </c>
      <c r="C2" s="235"/>
      <c r="D2" s="235"/>
      <c r="E2" s="235" t="s">
        <v>43</v>
      </c>
      <c r="F2" s="235"/>
      <c r="G2" s="235"/>
      <c r="H2" s="235"/>
      <c r="I2" s="235"/>
      <c r="J2" s="235"/>
      <c r="K2" s="235"/>
      <c r="L2" s="235"/>
      <c r="M2" s="235"/>
      <c r="N2" s="84"/>
      <c r="O2" s="84"/>
      <c r="P2" s="84"/>
      <c r="Q2" s="84"/>
      <c r="R2" s="84"/>
      <c r="S2" s="84"/>
      <c r="T2" s="84"/>
      <c r="U2" s="84"/>
      <c r="V2" s="9"/>
      <c r="X2" s="2"/>
      <c r="Y2" s="2"/>
      <c r="Z2" s="2"/>
      <c r="AA2" s="2"/>
      <c r="AB2" s="2"/>
      <c r="AC2" s="2"/>
      <c r="AD2" s="2"/>
      <c r="AE2" s="2"/>
      <c r="AF2" s="2"/>
      <c r="AG2" s="2"/>
      <c r="AH2" s="2"/>
      <c r="AI2" s="2"/>
      <c r="AJ2" s="2"/>
      <c r="AK2" s="2"/>
      <c r="AL2" s="2"/>
      <c r="AM2" s="2"/>
      <c r="AN2" s="2"/>
      <c r="AO2" s="2"/>
      <c r="AP2" s="2"/>
      <c r="AQ2" s="2"/>
      <c r="AR2" s="2"/>
      <c r="AS2" s="2"/>
    </row>
    <row r="3" spans="2:45" ht="16" customHeight="1" x14ac:dyDescent="0.2">
      <c r="B3" s="229"/>
      <c r="C3" s="223"/>
      <c r="D3" s="223"/>
      <c r="E3" s="236" t="s">
        <v>44</v>
      </c>
      <c r="F3" s="236"/>
      <c r="G3" s="236"/>
      <c r="H3" s="237" t="s">
        <v>45</v>
      </c>
      <c r="I3" s="237"/>
      <c r="J3" s="237"/>
      <c r="K3" s="238" t="s">
        <v>32</v>
      </c>
      <c r="L3" s="238"/>
      <c r="M3" s="238"/>
      <c r="N3" s="223" t="s">
        <v>46</v>
      </c>
      <c r="O3" s="223" t="s">
        <v>47</v>
      </c>
      <c r="P3" s="223" t="s">
        <v>48</v>
      </c>
      <c r="R3" s="223" t="s">
        <v>49</v>
      </c>
      <c r="S3" s="223" t="s">
        <v>50</v>
      </c>
      <c r="U3" s="223" t="s">
        <v>51</v>
      </c>
      <c r="V3" s="224"/>
      <c r="X3" s="2"/>
      <c r="Y3" s="2"/>
      <c r="Z3" s="2"/>
      <c r="AA3" s="2"/>
      <c r="AB3" s="2"/>
      <c r="AC3" s="2"/>
      <c r="AD3" s="2"/>
      <c r="AE3" s="2"/>
      <c r="AF3" s="2"/>
      <c r="AG3" s="2"/>
      <c r="AH3" s="2"/>
      <c r="AI3" s="2"/>
      <c r="AJ3" s="2"/>
      <c r="AK3" s="2"/>
      <c r="AL3" s="2"/>
      <c r="AM3" s="2"/>
      <c r="AN3" s="2"/>
      <c r="AO3" s="2"/>
      <c r="AP3" s="2"/>
      <c r="AQ3" s="2"/>
      <c r="AR3" s="2"/>
      <c r="AS3" s="2"/>
    </row>
    <row r="4" spans="2:45" ht="56" customHeight="1" thickBot="1" x14ac:dyDescent="0.25">
      <c r="B4" s="232" t="s">
        <v>52</v>
      </c>
      <c r="C4" s="39" t="s">
        <v>53</v>
      </c>
      <c r="D4" s="39" t="s">
        <v>54</v>
      </c>
      <c r="E4" s="39" t="s">
        <v>55</v>
      </c>
      <c r="F4" s="39" t="s">
        <v>56</v>
      </c>
      <c r="G4" s="39" t="s">
        <v>25</v>
      </c>
      <c r="H4" s="39" t="s">
        <v>35</v>
      </c>
      <c r="I4" s="39" t="s">
        <v>37</v>
      </c>
      <c r="J4" s="39" t="s">
        <v>57</v>
      </c>
      <c r="K4" s="39" t="s">
        <v>58</v>
      </c>
      <c r="L4" s="39" t="s">
        <v>31</v>
      </c>
      <c r="M4" s="39" t="s">
        <v>59</v>
      </c>
      <c r="N4" s="223"/>
      <c r="O4" s="223"/>
      <c r="P4" s="223"/>
      <c r="R4" s="223"/>
      <c r="S4" s="223"/>
      <c r="U4" s="223"/>
      <c r="V4" s="224"/>
      <c r="X4" s="2"/>
      <c r="Y4" s="2"/>
      <c r="Z4" s="2"/>
      <c r="AA4" s="2"/>
      <c r="AB4" s="2"/>
      <c r="AC4" s="2"/>
      <c r="AD4" s="2"/>
      <c r="AE4" s="2"/>
      <c r="AF4" s="2"/>
      <c r="AG4" s="2"/>
      <c r="AH4" s="2"/>
      <c r="AI4" s="2"/>
      <c r="AJ4" s="2"/>
      <c r="AK4" s="2"/>
      <c r="AL4" s="2"/>
      <c r="AM4" s="2"/>
      <c r="AN4" s="2"/>
      <c r="AO4" s="2"/>
      <c r="AP4" s="2"/>
      <c r="AQ4" s="2"/>
      <c r="AR4" s="2"/>
      <c r="AS4" s="2"/>
    </row>
    <row r="5" spans="2:45" ht="18" customHeight="1" x14ac:dyDescent="0.2">
      <c r="B5" s="232"/>
      <c r="C5" s="39" t="s">
        <v>26</v>
      </c>
      <c r="D5" s="39" t="s">
        <v>60</v>
      </c>
      <c r="E5" s="3">
        <v>-8.8699999999999992</v>
      </c>
      <c r="F5" s="3">
        <v>0</v>
      </c>
      <c r="G5" s="3">
        <v>0</v>
      </c>
      <c r="H5" s="3">
        <v>0</v>
      </c>
      <c r="I5" s="3">
        <v>0</v>
      </c>
      <c r="J5" s="3">
        <v>0</v>
      </c>
      <c r="K5" s="3">
        <v>0</v>
      </c>
      <c r="L5" s="3">
        <v>0</v>
      </c>
      <c r="M5" s="3">
        <v>0</v>
      </c>
      <c r="N5" s="39" t="s">
        <v>26</v>
      </c>
      <c r="O5" s="96" cm="1">
        <f t="array" ref="O5:O14">MMULT(E5:M14,O18:O26)</f>
        <v>0</v>
      </c>
      <c r="P5" s="7" t="s">
        <v>61</v>
      </c>
      <c r="R5" s="140">
        <f>'Energy Availability'!K27*-1</f>
        <v>-1936296.8090657655</v>
      </c>
      <c r="S5" s="93">
        <v>0</v>
      </c>
      <c r="U5" s="39">
        <v>0</v>
      </c>
      <c r="V5" s="83" t="s">
        <v>62</v>
      </c>
      <c r="X5" s="2"/>
      <c r="Y5" s="2"/>
      <c r="Z5" s="2"/>
      <c r="AA5" s="2"/>
      <c r="AB5" s="2"/>
      <c r="AC5" s="2"/>
      <c r="AD5" s="2"/>
      <c r="AE5" s="2"/>
      <c r="AF5" s="2"/>
      <c r="AG5" s="2"/>
      <c r="AH5" s="2"/>
      <c r="AI5" s="2"/>
      <c r="AJ5" s="2"/>
      <c r="AK5" s="2"/>
      <c r="AL5" s="2"/>
      <c r="AM5" s="2"/>
      <c r="AN5" s="2"/>
      <c r="AO5" s="2"/>
      <c r="AP5" s="2"/>
      <c r="AQ5" s="2"/>
      <c r="AR5" s="2"/>
      <c r="AS5" s="2"/>
    </row>
    <row r="6" spans="2:45" ht="18" x14ac:dyDescent="0.2">
      <c r="B6" s="232"/>
      <c r="C6" s="39" t="s">
        <v>63</v>
      </c>
      <c r="D6" s="39" t="s">
        <v>64</v>
      </c>
      <c r="E6" s="3">
        <v>0</v>
      </c>
      <c r="F6" s="3">
        <v>-2.67</v>
      </c>
      <c r="G6" s="3">
        <v>-1.42</v>
      </c>
      <c r="H6" s="8">
        <v>-71.430000000000007</v>
      </c>
      <c r="I6" s="37">
        <v>-14.29</v>
      </c>
      <c r="J6" s="3">
        <v>-2.5</v>
      </c>
      <c r="K6" s="3">
        <v>0</v>
      </c>
      <c r="L6" s="3">
        <v>0</v>
      </c>
      <c r="M6" s="3">
        <v>-2</v>
      </c>
      <c r="N6" s="39" t="s">
        <v>63</v>
      </c>
      <c r="O6" s="97">
        <v>0</v>
      </c>
      <c r="P6" s="7" t="s">
        <v>61</v>
      </c>
      <c r="R6" s="141">
        <f>'Energy Availability'!J27*-1</f>
        <v>-913784.81707317068</v>
      </c>
      <c r="S6" s="93">
        <v>0</v>
      </c>
      <c r="U6" s="39">
        <v>0</v>
      </c>
      <c r="V6" s="83" t="s">
        <v>65</v>
      </c>
      <c r="X6" s="2"/>
      <c r="Y6" s="2"/>
      <c r="Z6" s="2"/>
      <c r="AA6" s="2"/>
      <c r="AB6" s="2"/>
      <c r="AC6" s="2"/>
      <c r="AD6" s="2"/>
      <c r="AE6" s="2"/>
      <c r="AF6" s="2"/>
      <c r="AG6" s="2"/>
      <c r="AH6" s="2"/>
      <c r="AI6" s="2"/>
      <c r="AJ6" s="2"/>
      <c r="AK6" s="2"/>
      <c r="AL6" s="2"/>
      <c r="AM6" s="2"/>
      <c r="AN6" s="2"/>
      <c r="AO6" s="2"/>
      <c r="AP6" s="2"/>
      <c r="AQ6" s="2"/>
      <c r="AR6" s="2"/>
      <c r="AS6" s="2"/>
    </row>
    <row r="7" spans="2:45" ht="16" x14ac:dyDescent="0.2">
      <c r="B7" s="232"/>
      <c r="C7" s="39" t="s">
        <v>66</v>
      </c>
      <c r="D7" s="39" t="s">
        <v>67</v>
      </c>
      <c r="E7" s="3">
        <v>0</v>
      </c>
      <c r="F7" s="3">
        <v>0</v>
      </c>
      <c r="G7" s="3">
        <v>0</v>
      </c>
      <c r="H7" s="3">
        <v>0</v>
      </c>
      <c r="I7" s="3">
        <v>0</v>
      </c>
      <c r="J7" s="3">
        <v>0</v>
      </c>
      <c r="K7" s="5">
        <v>-0.8</v>
      </c>
      <c r="L7" s="1">
        <v>0</v>
      </c>
      <c r="M7" s="1">
        <v>0</v>
      </c>
      <c r="N7" s="39" t="s">
        <v>68</v>
      </c>
      <c r="O7" s="97">
        <v>0</v>
      </c>
      <c r="P7" s="7" t="s">
        <v>61</v>
      </c>
      <c r="R7" s="141">
        <f>'Energy Availability'!I27*-1</f>
        <v>-1958640.3145845782</v>
      </c>
      <c r="S7" s="93">
        <v>0</v>
      </c>
      <c r="U7" s="39">
        <v>11.37</v>
      </c>
      <c r="V7" s="83" t="s">
        <v>69</v>
      </c>
      <c r="X7" s="2"/>
      <c r="Y7" s="2"/>
      <c r="Z7" s="2"/>
      <c r="AA7" s="2"/>
      <c r="AB7" s="2"/>
      <c r="AC7" s="2"/>
      <c r="AD7" s="2"/>
      <c r="AE7" s="2"/>
      <c r="AF7" s="2"/>
      <c r="AG7" s="2"/>
      <c r="AH7" s="2"/>
      <c r="AI7" s="2"/>
      <c r="AJ7" s="2"/>
      <c r="AK7" s="2"/>
      <c r="AL7" s="2"/>
      <c r="AM7" s="2"/>
      <c r="AN7" s="2"/>
      <c r="AO7" s="2"/>
      <c r="AP7" s="2"/>
      <c r="AQ7" s="2"/>
      <c r="AR7" s="2"/>
      <c r="AS7" s="2"/>
    </row>
    <row r="8" spans="2:45" ht="16" x14ac:dyDescent="0.2">
      <c r="B8" s="232"/>
      <c r="C8" s="39" t="s">
        <v>34</v>
      </c>
      <c r="D8" s="39" t="s">
        <v>70</v>
      </c>
      <c r="E8" s="3">
        <v>0</v>
      </c>
      <c r="F8" s="3">
        <v>0</v>
      </c>
      <c r="G8" s="3">
        <v>0</v>
      </c>
      <c r="H8" s="1">
        <v>0</v>
      </c>
      <c r="I8" s="1">
        <v>-0.03</v>
      </c>
      <c r="J8" s="1">
        <v>0</v>
      </c>
      <c r="K8" s="1">
        <v>0</v>
      </c>
      <c r="L8" s="1">
        <v>0</v>
      </c>
      <c r="M8" s="1">
        <v>0</v>
      </c>
      <c r="N8" s="39" t="s">
        <v>34</v>
      </c>
      <c r="O8" s="97">
        <v>0</v>
      </c>
      <c r="P8" s="7" t="s">
        <v>61</v>
      </c>
      <c r="R8" s="94">
        <f>'Energy Availability'!L27*-1</f>
        <v>-23838.675651343612</v>
      </c>
      <c r="S8" s="93">
        <v>0</v>
      </c>
      <c r="U8" s="39">
        <v>52.11</v>
      </c>
      <c r="V8" s="83" t="s">
        <v>71</v>
      </c>
      <c r="X8" s="2"/>
      <c r="Y8" s="2"/>
      <c r="Z8" s="2"/>
      <c r="AA8" s="2"/>
      <c r="AB8" s="2"/>
      <c r="AC8" s="2"/>
      <c r="AD8" s="2"/>
      <c r="AE8" s="2"/>
      <c r="AF8" s="2"/>
      <c r="AG8" s="2"/>
      <c r="AH8" s="2"/>
      <c r="AI8" s="2"/>
      <c r="AJ8" s="2"/>
      <c r="AK8" s="2"/>
      <c r="AL8" s="2"/>
      <c r="AM8" s="2"/>
      <c r="AN8" s="2"/>
      <c r="AO8" s="2"/>
      <c r="AP8" s="2"/>
      <c r="AQ8" s="2"/>
      <c r="AR8" s="2"/>
      <c r="AS8" s="2"/>
    </row>
    <row r="9" spans="2:45" ht="16" x14ac:dyDescent="0.2">
      <c r="B9" s="232"/>
      <c r="C9" s="39" t="s">
        <v>29</v>
      </c>
      <c r="D9" s="39" t="s">
        <v>60</v>
      </c>
      <c r="E9" s="1">
        <v>1</v>
      </c>
      <c r="F9" s="3">
        <v>-0.03</v>
      </c>
      <c r="G9" s="3">
        <v>0</v>
      </c>
      <c r="H9" s="1">
        <v>1</v>
      </c>
      <c r="I9" s="1">
        <v>1</v>
      </c>
      <c r="J9" s="3">
        <v>-0.05</v>
      </c>
      <c r="K9" s="1">
        <v>1</v>
      </c>
      <c r="L9" s="3">
        <v>-0.2</v>
      </c>
      <c r="M9" s="3">
        <v>-3</v>
      </c>
      <c r="N9" s="39" t="s">
        <v>29</v>
      </c>
      <c r="O9" s="97">
        <v>0</v>
      </c>
      <c r="P9" s="7" t="s">
        <v>72</v>
      </c>
      <c r="R9" s="95">
        <f>Home!P11</f>
        <v>0</v>
      </c>
      <c r="S9" s="93">
        <f>IF(R9=0,0,50000)</f>
        <v>0</v>
      </c>
      <c r="U9" s="39">
        <v>8.52</v>
      </c>
      <c r="V9" s="83" t="s">
        <v>62</v>
      </c>
      <c r="X9" s="2"/>
      <c r="Y9" s="2"/>
      <c r="Z9" s="2"/>
      <c r="AA9" s="2"/>
      <c r="AB9" s="2"/>
      <c r="AC9" s="2"/>
      <c r="AD9" s="2"/>
      <c r="AE9" s="2"/>
      <c r="AF9" s="2"/>
      <c r="AG9" s="2"/>
      <c r="AH9" s="2"/>
      <c r="AI9" s="2"/>
      <c r="AJ9" s="2"/>
      <c r="AK9" s="2"/>
      <c r="AL9" s="2"/>
      <c r="AM9" s="2"/>
      <c r="AN9" s="2"/>
      <c r="AO9" s="2"/>
      <c r="AP9" s="2"/>
      <c r="AQ9" s="2"/>
      <c r="AR9" s="2"/>
      <c r="AS9" s="2"/>
    </row>
    <row r="10" spans="2:45" ht="16" x14ac:dyDescent="0.2">
      <c r="B10" s="232"/>
      <c r="C10" s="39" t="s">
        <v>73</v>
      </c>
      <c r="D10" s="39" t="s">
        <v>60</v>
      </c>
      <c r="E10" s="1">
        <v>2.66</v>
      </c>
      <c r="F10" s="3">
        <v>-2.64</v>
      </c>
      <c r="G10" s="3">
        <v>-2.3999999999999998E-3</v>
      </c>
      <c r="H10" s="3">
        <v>0</v>
      </c>
      <c r="I10" s="3">
        <v>0</v>
      </c>
      <c r="J10" s="3">
        <v>0</v>
      </c>
      <c r="K10" s="3">
        <v>0</v>
      </c>
      <c r="L10" s="3">
        <v>0</v>
      </c>
      <c r="M10" s="3">
        <v>0</v>
      </c>
      <c r="N10" s="39" t="s">
        <v>74</v>
      </c>
      <c r="O10" s="97">
        <v>0</v>
      </c>
      <c r="P10" s="7" t="s">
        <v>72</v>
      </c>
      <c r="R10" s="94">
        <v>0</v>
      </c>
      <c r="S10" s="93">
        <v>100000</v>
      </c>
      <c r="U10" s="39">
        <v>0</v>
      </c>
      <c r="V10" s="83" t="s">
        <v>62</v>
      </c>
      <c r="X10" s="2"/>
      <c r="Y10" s="2"/>
      <c r="Z10" s="2"/>
      <c r="AA10" s="2"/>
      <c r="AB10" s="2"/>
      <c r="AC10" s="2"/>
      <c r="AD10" s="2"/>
      <c r="AE10" s="2"/>
      <c r="AF10" s="2"/>
      <c r="AG10" s="2"/>
      <c r="AH10" s="2"/>
      <c r="AI10" s="2"/>
      <c r="AJ10" s="2"/>
      <c r="AK10" s="2"/>
      <c r="AL10" s="2"/>
      <c r="AM10" s="2"/>
      <c r="AN10" s="2"/>
      <c r="AO10" s="2"/>
      <c r="AP10" s="2"/>
      <c r="AQ10" s="2"/>
      <c r="AR10" s="2"/>
      <c r="AS10" s="2"/>
    </row>
    <row r="11" spans="2:45" ht="18" x14ac:dyDescent="0.2">
      <c r="B11" s="232"/>
      <c r="C11" s="39" t="s">
        <v>75</v>
      </c>
      <c r="D11" s="39" t="s">
        <v>64</v>
      </c>
      <c r="E11" s="3">
        <v>0</v>
      </c>
      <c r="F11" s="1">
        <v>1</v>
      </c>
      <c r="G11" s="3">
        <v>0</v>
      </c>
      <c r="H11" s="3">
        <v>0</v>
      </c>
      <c r="I11" s="3">
        <v>0</v>
      </c>
      <c r="J11" s="1">
        <v>1</v>
      </c>
      <c r="K11" s="3">
        <v>-3.0000000000000001E-3</v>
      </c>
      <c r="L11" s="1">
        <v>0</v>
      </c>
      <c r="M11" s="1">
        <v>1</v>
      </c>
      <c r="N11" s="39" t="s">
        <v>75</v>
      </c>
      <c r="O11" s="97">
        <v>0</v>
      </c>
      <c r="P11" s="7" t="s">
        <v>72</v>
      </c>
      <c r="R11" s="95">
        <f>Home!P13</f>
        <v>0</v>
      </c>
      <c r="S11" s="93">
        <f>IF(R11=0,0,R11*2)</f>
        <v>0</v>
      </c>
      <c r="U11" s="39">
        <v>36.369999999999997</v>
      </c>
      <c r="V11" s="83" t="s">
        <v>65</v>
      </c>
      <c r="X11" s="2"/>
      <c r="Y11" s="2"/>
      <c r="Z11" s="2"/>
      <c r="AA11" s="2"/>
      <c r="AB11" s="2"/>
      <c r="AC11" s="2"/>
      <c r="AD11" s="2"/>
      <c r="AE11" s="2"/>
      <c r="AF11" s="2"/>
      <c r="AG11" s="2"/>
      <c r="AH11" s="2"/>
      <c r="AI11" s="2"/>
      <c r="AJ11" s="2"/>
      <c r="AK11" s="2"/>
      <c r="AL11" s="2"/>
      <c r="AM11" s="2"/>
      <c r="AN11" s="2"/>
      <c r="AO11" s="2"/>
      <c r="AP11" s="2"/>
      <c r="AQ11" s="2"/>
      <c r="AR11" s="2"/>
      <c r="AS11" s="2"/>
    </row>
    <row r="12" spans="2:45" ht="16" x14ac:dyDescent="0.2">
      <c r="B12" s="232"/>
      <c r="C12" s="39" t="s">
        <v>27</v>
      </c>
      <c r="D12" s="39" t="s">
        <v>60</v>
      </c>
      <c r="E12" s="3">
        <v>0</v>
      </c>
      <c r="F12" s="3">
        <v>0</v>
      </c>
      <c r="G12" s="1">
        <v>1</v>
      </c>
      <c r="H12" s="3">
        <v>0</v>
      </c>
      <c r="I12" s="3">
        <v>0</v>
      </c>
      <c r="J12" s="3">
        <v>0</v>
      </c>
      <c r="K12" s="3">
        <v>0</v>
      </c>
      <c r="L12" s="1">
        <v>1</v>
      </c>
      <c r="M12" s="1">
        <v>0</v>
      </c>
      <c r="N12" s="39" t="s">
        <v>27</v>
      </c>
      <c r="O12" s="97">
        <v>0</v>
      </c>
      <c r="P12" s="7" t="s">
        <v>72</v>
      </c>
      <c r="R12" s="95">
        <f>Home!P15</f>
        <v>0</v>
      </c>
      <c r="S12" s="93">
        <f>IF(R12=0,0,R12*2)</f>
        <v>0</v>
      </c>
      <c r="U12" s="39">
        <v>3.41</v>
      </c>
      <c r="V12" s="83" t="s">
        <v>62</v>
      </c>
      <c r="X12" s="2"/>
      <c r="Y12" s="2"/>
      <c r="Z12" s="2"/>
      <c r="AA12" s="2"/>
      <c r="AB12" s="2"/>
      <c r="AC12" s="2"/>
      <c r="AD12" s="2"/>
      <c r="AE12" s="2"/>
      <c r="AF12" s="2"/>
      <c r="AG12" s="2"/>
      <c r="AH12" s="2"/>
      <c r="AI12" s="2"/>
      <c r="AJ12" s="2"/>
      <c r="AK12" s="2"/>
      <c r="AL12" s="2"/>
      <c r="AM12" s="2"/>
      <c r="AN12" s="2"/>
      <c r="AO12" s="2"/>
      <c r="AP12" s="2"/>
      <c r="AQ12" s="2"/>
      <c r="AR12" s="2"/>
      <c r="AS12" s="2"/>
    </row>
    <row r="13" spans="2:45" ht="16" x14ac:dyDescent="0.2">
      <c r="B13" s="232"/>
      <c r="C13" s="39" t="s">
        <v>33</v>
      </c>
      <c r="D13" s="39" t="s">
        <v>60</v>
      </c>
      <c r="E13" s="3">
        <v>0</v>
      </c>
      <c r="F13" s="3">
        <v>0</v>
      </c>
      <c r="G13" s="3">
        <v>0</v>
      </c>
      <c r="H13" s="3">
        <v>0</v>
      </c>
      <c r="I13" s="3">
        <v>0</v>
      </c>
      <c r="J13" s="3">
        <v>0</v>
      </c>
      <c r="K13" s="1">
        <v>1.6</v>
      </c>
      <c r="L13" s="3">
        <v>0</v>
      </c>
      <c r="M13" s="3">
        <v>0</v>
      </c>
      <c r="N13" s="39" t="s">
        <v>33</v>
      </c>
      <c r="O13" s="97">
        <v>0</v>
      </c>
      <c r="P13" s="7" t="s">
        <v>72</v>
      </c>
      <c r="R13" s="94">
        <v>0</v>
      </c>
      <c r="S13" s="93">
        <v>100000</v>
      </c>
      <c r="U13" s="39">
        <v>2.27</v>
      </c>
      <c r="V13" s="83" t="s">
        <v>62</v>
      </c>
      <c r="X13" s="2"/>
      <c r="Y13" s="2"/>
      <c r="Z13" s="2"/>
      <c r="AA13" s="2"/>
      <c r="AB13" s="2"/>
      <c r="AC13" s="2"/>
      <c r="AD13" s="2"/>
      <c r="AE13" s="2"/>
      <c r="AF13" s="2"/>
      <c r="AG13" s="2"/>
      <c r="AH13" s="2"/>
      <c r="AI13" s="2"/>
      <c r="AJ13" s="2"/>
      <c r="AK13" s="2"/>
      <c r="AL13" s="2"/>
      <c r="AM13" s="2"/>
      <c r="AN13" s="2"/>
      <c r="AO13" s="2"/>
      <c r="AP13" s="2"/>
      <c r="AQ13" s="2"/>
      <c r="AR13" s="2"/>
      <c r="AS13" s="2"/>
    </row>
    <row r="14" spans="2:45" ht="18" x14ac:dyDescent="0.2">
      <c r="B14" s="233"/>
      <c r="C14" s="88" t="s">
        <v>76</v>
      </c>
      <c r="D14" s="88" t="s">
        <v>77</v>
      </c>
      <c r="E14" s="64">
        <v>0.05</v>
      </c>
      <c r="F14" s="10">
        <v>0.32</v>
      </c>
      <c r="G14" s="64">
        <v>0.17</v>
      </c>
      <c r="H14" s="64">
        <v>4.4999999999999997E-3</v>
      </c>
      <c r="I14" s="64">
        <v>1.27</v>
      </c>
      <c r="J14" s="10">
        <v>0.56000000000000005</v>
      </c>
      <c r="K14" s="64">
        <v>0.32</v>
      </c>
      <c r="L14" s="64">
        <v>0.54400000000000004</v>
      </c>
      <c r="M14" s="64">
        <v>0.26300000000000001</v>
      </c>
      <c r="N14" s="281" t="s">
        <v>76</v>
      </c>
      <c r="O14" s="282">
        <v>0</v>
      </c>
      <c r="P14" s="283" t="s">
        <v>72</v>
      </c>
      <c r="Q14" s="20"/>
      <c r="R14" s="284">
        <v>0</v>
      </c>
      <c r="S14" s="285">
        <v>20000</v>
      </c>
      <c r="T14" s="286"/>
      <c r="U14" s="20">
        <v>0</v>
      </c>
      <c r="V14" s="11" t="s">
        <v>69</v>
      </c>
      <c r="X14" s="2"/>
      <c r="Y14" s="2"/>
      <c r="Z14" s="2"/>
      <c r="AA14" s="2"/>
      <c r="AB14" s="2"/>
      <c r="AC14" s="2"/>
      <c r="AD14" s="2"/>
      <c r="AE14" s="2"/>
      <c r="AF14" s="2"/>
      <c r="AG14" s="2"/>
      <c r="AH14" s="2"/>
      <c r="AI14" s="2"/>
      <c r="AJ14" s="2"/>
      <c r="AK14" s="2"/>
      <c r="AL14" s="2"/>
      <c r="AM14" s="2"/>
      <c r="AN14" s="2"/>
      <c r="AO14" s="2"/>
      <c r="AP14" s="2"/>
      <c r="AQ14" s="2"/>
      <c r="AR14" s="2"/>
      <c r="AS14" s="2"/>
    </row>
    <row r="15" spans="2:45" x14ac:dyDescent="0.2">
      <c r="B15" s="4"/>
      <c r="X15" s="2"/>
      <c r="Y15" s="2"/>
      <c r="Z15" s="2"/>
      <c r="AA15" s="2"/>
      <c r="AB15" s="2"/>
      <c r="AC15" s="2"/>
      <c r="AD15" s="2"/>
      <c r="AE15" s="2"/>
      <c r="AF15" s="2"/>
      <c r="AG15" s="2"/>
      <c r="AH15" s="2"/>
      <c r="AI15" s="2"/>
      <c r="AJ15" s="2"/>
      <c r="AK15" s="2"/>
      <c r="AL15" s="2"/>
      <c r="AM15" s="2"/>
      <c r="AN15" s="2"/>
      <c r="AO15" s="2"/>
      <c r="AP15" s="2"/>
      <c r="AQ15" s="2"/>
      <c r="AR15" s="2"/>
      <c r="AS15" s="2"/>
    </row>
    <row r="16" spans="2:45" ht="17" customHeight="1" x14ac:dyDescent="0.2">
      <c r="B16" s="4"/>
      <c r="X16" s="2"/>
      <c r="Y16" s="2"/>
      <c r="Z16" s="2"/>
      <c r="AA16" s="2"/>
      <c r="AB16" s="2"/>
      <c r="AC16" s="2"/>
      <c r="AD16" s="2"/>
      <c r="AE16" s="2"/>
      <c r="AF16" s="2"/>
      <c r="AG16" s="2"/>
      <c r="AH16" s="2"/>
      <c r="AI16" s="2"/>
      <c r="AJ16" s="2"/>
      <c r="AK16" s="2"/>
      <c r="AL16" s="2"/>
      <c r="AM16" s="2"/>
      <c r="AN16" s="2"/>
      <c r="AO16" s="2"/>
      <c r="AP16" s="2"/>
      <c r="AQ16" s="2"/>
      <c r="AR16" s="2"/>
      <c r="AS16" s="2"/>
    </row>
    <row r="17" spans="2:45" ht="32" customHeight="1" thickBot="1" x14ac:dyDescent="0.25">
      <c r="B17" s="4"/>
      <c r="C17" s="86" t="s">
        <v>78</v>
      </c>
      <c r="D17" s="84"/>
      <c r="E17" s="84" t="s">
        <v>55</v>
      </c>
      <c r="F17" s="84" t="s">
        <v>79</v>
      </c>
      <c r="G17" s="84" t="s">
        <v>25</v>
      </c>
      <c r="H17" s="84" t="s">
        <v>35</v>
      </c>
      <c r="I17" s="84" t="s">
        <v>37</v>
      </c>
      <c r="J17" s="84" t="s">
        <v>57</v>
      </c>
      <c r="K17" s="84" t="s">
        <v>80</v>
      </c>
      <c r="L17" s="84" t="s">
        <v>31</v>
      </c>
      <c r="M17" s="84" t="s">
        <v>81</v>
      </c>
      <c r="N17" s="84" t="s">
        <v>82</v>
      </c>
      <c r="O17" s="84"/>
      <c r="P17" s="9"/>
      <c r="R17" s="2"/>
      <c r="S17" s="2"/>
      <c r="T17" s="2"/>
      <c r="U17" s="2"/>
      <c r="V17" s="2"/>
      <c r="X17" s="2"/>
      <c r="Y17" s="2"/>
      <c r="Z17" s="2"/>
      <c r="AA17" s="2"/>
      <c r="AB17" s="2"/>
      <c r="AC17" s="2"/>
      <c r="AD17" s="2"/>
      <c r="AE17" s="2"/>
      <c r="AF17" s="2"/>
      <c r="AG17" s="2"/>
      <c r="AH17" s="2"/>
      <c r="AI17" s="2"/>
      <c r="AJ17" s="2"/>
      <c r="AK17" s="2"/>
      <c r="AL17" s="2"/>
      <c r="AM17" s="2"/>
      <c r="AN17" s="2"/>
      <c r="AO17" s="2"/>
      <c r="AP17" s="2"/>
      <c r="AQ17" s="2"/>
      <c r="AR17" s="2"/>
      <c r="AS17" s="2"/>
    </row>
    <row r="18" spans="2:45" ht="17" thickBot="1" x14ac:dyDescent="0.25">
      <c r="B18" s="4"/>
      <c r="C18" s="85" t="s">
        <v>83</v>
      </c>
      <c r="D18" s="39" t="s">
        <v>84</v>
      </c>
      <c r="E18" s="91">
        <v>5.05</v>
      </c>
      <c r="F18" s="91">
        <v>7.57</v>
      </c>
      <c r="G18" s="91">
        <f>1805317.47/360</f>
        <v>5014.7707499999997</v>
      </c>
      <c r="H18" s="91">
        <v>3340</v>
      </c>
      <c r="I18" s="91">
        <v>2750</v>
      </c>
      <c r="J18" s="91">
        <v>992.12</v>
      </c>
      <c r="K18" s="91">
        <f>0.02*K19/360</f>
        <v>1197.7444444444445</v>
      </c>
      <c r="L18" s="91">
        <v>15200</v>
      </c>
      <c r="M18" s="91">
        <v>1313.19</v>
      </c>
      <c r="N18" s="39" t="s">
        <v>55</v>
      </c>
      <c r="O18" s="100">
        <v>0</v>
      </c>
      <c r="P18" s="83" t="s">
        <v>85</v>
      </c>
      <c r="X18" s="2"/>
      <c r="Y18" s="2"/>
      <c r="Z18" s="2"/>
      <c r="AA18" s="2"/>
      <c r="AB18" s="2"/>
      <c r="AC18" s="2"/>
      <c r="AD18" s="2"/>
      <c r="AE18" s="2"/>
      <c r="AF18" s="2"/>
      <c r="AG18" s="2"/>
      <c r="AH18" s="2"/>
      <c r="AI18" s="2"/>
      <c r="AJ18" s="2"/>
      <c r="AK18" s="2"/>
      <c r="AL18" s="2"/>
      <c r="AM18" s="2"/>
      <c r="AN18" s="2"/>
      <c r="AO18" s="2"/>
      <c r="AP18" s="2"/>
      <c r="AQ18" s="2"/>
      <c r="AR18" s="2"/>
      <c r="AS18" s="2"/>
    </row>
    <row r="19" spans="2:45" ht="17" customHeight="1" thickBot="1" x14ac:dyDescent="0.25">
      <c r="B19" s="4"/>
      <c r="C19" s="85" t="s">
        <v>86</v>
      </c>
      <c r="D19" s="39" t="s">
        <v>87</v>
      </c>
      <c r="E19" s="91">
        <v>459200</v>
      </c>
      <c r="F19" s="91">
        <v>93157850</v>
      </c>
      <c r="G19" s="91">
        <v>4915800</v>
      </c>
      <c r="H19" s="91">
        <v>642180</v>
      </c>
      <c r="I19" s="91">
        <v>33149870</v>
      </c>
      <c r="J19" s="91">
        <v>4990500</v>
      </c>
      <c r="K19" s="91">
        <v>21559400</v>
      </c>
      <c r="L19" s="91">
        <v>2496350</v>
      </c>
      <c r="M19" s="91">
        <v>0</v>
      </c>
      <c r="N19" s="39" t="s">
        <v>88</v>
      </c>
      <c r="O19" s="101">
        <v>0</v>
      </c>
      <c r="P19" s="83" t="s">
        <v>89</v>
      </c>
      <c r="R19" s="17"/>
      <c r="S19" s="225" t="s">
        <v>90</v>
      </c>
      <c r="T19" s="225"/>
      <c r="U19" s="225"/>
      <c r="V19" s="225"/>
      <c r="X19" s="2"/>
      <c r="Y19" s="2"/>
      <c r="Z19" s="2"/>
      <c r="AA19" s="2"/>
      <c r="AB19" s="2"/>
      <c r="AC19" s="2"/>
      <c r="AD19" s="2"/>
      <c r="AE19" s="2"/>
      <c r="AF19" s="2"/>
      <c r="AG19" s="2"/>
      <c r="AH19" s="2"/>
      <c r="AI19" s="2"/>
      <c r="AJ19" s="2"/>
      <c r="AK19" s="2"/>
      <c r="AL19" s="2"/>
      <c r="AM19" s="2"/>
      <c r="AN19" s="2"/>
      <c r="AO19" s="2"/>
      <c r="AP19" s="2"/>
      <c r="AQ19" s="2"/>
      <c r="AR19" s="2"/>
      <c r="AS19" s="2"/>
    </row>
    <row r="20" spans="2:45" ht="17" thickBot="1" x14ac:dyDescent="0.25">
      <c r="B20" s="4"/>
      <c r="C20" s="87" t="s">
        <v>91</v>
      </c>
      <c r="D20" s="88"/>
      <c r="E20" s="30">
        <v>0</v>
      </c>
      <c r="F20" s="31">
        <v>0</v>
      </c>
      <c r="G20" s="31">
        <v>0</v>
      </c>
      <c r="H20" s="31">
        <v>0</v>
      </c>
      <c r="I20" s="31">
        <v>0</v>
      </c>
      <c r="J20" s="31">
        <v>0</v>
      </c>
      <c r="K20" s="31">
        <v>0</v>
      </c>
      <c r="L20" s="31">
        <v>0</v>
      </c>
      <c r="M20" s="32">
        <v>0</v>
      </c>
      <c r="N20" s="39" t="s">
        <v>25</v>
      </c>
      <c r="O20" s="101">
        <v>0</v>
      </c>
      <c r="P20" s="83" t="s">
        <v>92</v>
      </c>
      <c r="R20" s="18"/>
      <c r="S20" s="225" t="s">
        <v>93</v>
      </c>
      <c r="T20" s="225"/>
      <c r="U20" s="225"/>
      <c r="V20" s="225"/>
      <c r="X20" s="2"/>
      <c r="Y20" s="2"/>
      <c r="Z20" s="2"/>
      <c r="AA20" s="2"/>
      <c r="AB20" s="2"/>
      <c r="AC20" s="2"/>
      <c r="AD20" s="2"/>
      <c r="AE20" s="2"/>
      <c r="AF20" s="2"/>
      <c r="AG20" s="2"/>
      <c r="AH20" s="2"/>
      <c r="AI20" s="2"/>
      <c r="AJ20" s="2"/>
      <c r="AK20" s="2"/>
      <c r="AL20" s="2"/>
      <c r="AM20" s="2"/>
      <c r="AN20" s="2"/>
      <c r="AO20" s="2"/>
      <c r="AP20" s="2"/>
      <c r="AQ20" s="2"/>
      <c r="AR20" s="2"/>
      <c r="AS20" s="2"/>
    </row>
    <row r="21" spans="2:45" ht="16" x14ac:dyDescent="0.2">
      <c r="B21" s="4"/>
      <c r="N21" s="85" t="s">
        <v>35</v>
      </c>
      <c r="O21" s="101">
        <v>0</v>
      </c>
      <c r="P21" s="83" t="s">
        <v>85</v>
      </c>
      <c r="R21" s="6"/>
      <c r="S21" s="6"/>
      <c r="T21" s="6"/>
      <c r="U21" s="6"/>
      <c r="V21" s="6"/>
      <c r="X21" s="2"/>
      <c r="Y21" s="2"/>
      <c r="Z21" s="2"/>
      <c r="AA21" s="2"/>
      <c r="AB21" s="2"/>
      <c r="AC21" s="2"/>
      <c r="AD21" s="2"/>
      <c r="AE21" s="2"/>
      <c r="AF21" s="2"/>
      <c r="AG21" s="2"/>
      <c r="AH21" s="2"/>
      <c r="AI21" s="2"/>
      <c r="AJ21" s="2"/>
      <c r="AK21" s="2"/>
      <c r="AL21" s="2"/>
      <c r="AM21" s="2"/>
      <c r="AN21" s="2"/>
      <c r="AO21" s="2"/>
      <c r="AP21" s="2"/>
      <c r="AQ21" s="2"/>
      <c r="AR21" s="2"/>
      <c r="AS21" s="2"/>
    </row>
    <row r="22" spans="2:45" ht="16" customHeight="1" x14ac:dyDescent="0.2">
      <c r="B22" s="226" t="s">
        <v>159</v>
      </c>
      <c r="C22" s="227"/>
      <c r="D22" s="227"/>
      <c r="E22" s="227"/>
      <c r="F22" s="227"/>
      <c r="G22" s="227"/>
      <c r="H22" s="227"/>
      <c r="I22" s="227"/>
      <c r="J22" s="227"/>
      <c r="K22" s="227"/>
      <c r="L22" s="228"/>
      <c r="N22" s="85" t="s">
        <v>37</v>
      </c>
      <c r="O22" s="101">
        <v>0</v>
      </c>
      <c r="P22" s="83" t="s">
        <v>85</v>
      </c>
      <c r="R22" s="6"/>
      <c r="S22" s="6"/>
      <c r="T22" s="6"/>
      <c r="U22" s="6"/>
      <c r="V22" s="6"/>
      <c r="X22" s="2"/>
      <c r="Y22" s="2"/>
      <c r="Z22" s="2"/>
      <c r="AA22" s="2"/>
      <c r="AB22" s="2"/>
      <c r="AC22" s="2"/>
      <c r="AD22" s="2"/>
      <c r="AE22" s="2"/>
      <c r="AF22" s="2"/>
      <c r="AG22" s="2"/>
      <c r="AH22" s="2"/>
      <c r="AI22" s="2"/>
      <c r="AJ22" s="2"/>
      <c r="AK22" s="2"/>
      <c r="AL22" s="2"/>
      <c r="AM22" s="2"/>
      <c r="AN22" s="2"/>
      <c r="AO22" s="2"/>
      <c r="AP22" s="2"/>
      <c r="AQ22" s="2"/>
      <c r="AR22" s="2"/>
      <c r="AS22" s="2"/>
    </row>
    <row r="23" spans="2:45" ht="19" customHeight="1" thickBot="1" x14ac:dyDescent="0.25">
      <c r="B23" s="85"/>
      <c r="D23" s="39" t="s">
        <v>94</v>
      </c>
      <c r="E23" s="39" t="s">
        <v>95</v>
      </c>
      <c r="G23" s="39" t="s">
        <v>94</v>
      </c>
      <c r="H23" s="39" t="s">
        <v>95</v>
      </c>
      <c r="J23" s="39" t="s">
        <v>94</v>
      </c>
      <c r="K23" s="39" t="s">
        <v>95</v>
      </c>
      <c r="L23" s="83"/>
      <c r="N23" s="85" t="s">
        <v>57</v>
      </c>
      <c r="O23" s="101">
        <v>0</v>
      </c>
      <c r="P23" s="83" t="s">
        <v>89</v>
      </c>
      <c r="R23" s="222" t="s">
        <v>160</v>
      </c>
      <c r="S23" s="222"/>
      <c r="T23" s="222"/>
      <c r="U23" s="222"/>
      <c r="V23" s="153"/>
      <c r="X23" s="2"/>
      <c r="Y23" s="2"/>
      <c r="Z23" s="2"/>
      <c r="AA23" s="2"/>
      <c r="AB23" s="2"/>
      <c r="AC23" s="2"/>
      <c r="AD23" s="2"/>
      <c r="AE23" s="2"/>
      <c r="AF23" s="2"/>
      <c r="AG23" s="2"/>
      <c r="AH23" s="2"/>
      <c r="AI23" s="2"/>
      <c r="AJ23" s="2"/>
      <c r="AK23" s="2"/>
      <c r="AL23" s="2"/>
      <c r="AM23" s="2"/>
      <c r="AN23" s="2"/>
      <c r="AO23" s="2"/>
      <c r="AP23" s="2"/>
      <c r="AQ23" s="2"/>
      <c r="AR23" s="2"/>
      <c r="AS23" s="2"/>
    </row>
    <row r="24" spans="2:45" ht="17" x14ac:dyDescent="0.25">
      <c r="B24" s="229" t="s">
        <v>96</v>
      </c>
      <c r="C24" s="14" t="s">
        <v>26</v>
      </c>
      <c r="E24" s="21">
        <f t="shared" ref="E24:E33" si="0">O5</f>
        <v>0</v>
      </c>
      <c r="F24" s="230" t="s">
        <v>97</v>
      </c>
      <c r="G24" s="24">
        <f t="shared" ref="G24:G33" si="1">O5</f>
        <v>0</v>
      </c>
      <c r="H24" s="25">
        <f t="shared" ref="H24:H33" si="2">R5</f>
        <v>-1936296.8090657655</v>
      </c>
      <c r="I24" s="231" t="s">
        <v>98</v>
      </c>
      <c r="J24" s="24">
        <f t="shared" ref="J24:J33" si="3">O5</f>
        <v>0</v>
      </c>
      <c r="K24" s="25">
        <f t="shared" ref="K24:K33" si="4">S5</f>
        <v>0</v>
      </c>
      <c r="L24" s="83" t="s">
        <v>85</v>
      </c>
      <c r="N24" s="85" t="s">
        <v>80</v>
      </c>
      <c r="O24" s="101">
        <v>0</v>
      </c>
      <c r="P24" s="83" t="s">
        <v>85</v>
      </c>
      <c r="R24" s="143"/>
      <c r="S24" s="154" t="s">
        <v>50</v>
      </c>
      <c r="T24" s="154" t="s">
        <v>41</v>
      </c>
      <c r="U24" s="154" t="s">
        <v>162</v>
      </c>
      <c r="X24" s="2"/>
      <c r="Y24" s="2"/>
      <c r="Z24" s="2"/>
      <c r="AA24" s="2"/>
      <c r="AB24" s="2"/>
      <c r="AC24" s="2"/>
      <c r="AD24" s="2"/>
      <c r="AE24" s="2"/>
      <c r="AF24" s="2"/>
      <c r="AG24" s="2"/>
      <c r="AH24" s="2"/>
      <c r="AI24" s="2"/>
      <c r="AJ24" s="2"/>
      <c r="AK24" s="2"/>
      <c r="AL24" s="2"/>
      <c r="AM24" s="2"/>
      <c r="AN24" s="2"/>
      <c r="AO24" s="2"/>
      <c r="AP24" s="2"/>
      <c r="AQ24" s="2"/>
      <c r="AR24" s="2"/>
      <c r="AS24" s="2"/>
    </row>
    <row r="25" spans="2:45" ht="16" x14ac:dyDescent="0.2">
      <c r="B25" s="229"/>
      <c r="C25" s="39" t="s">
        <v>63</v>
      </c>
      <c r="E25" s="22">
        <f t="shared" si="0"/>
        <v>0</v>
      </c>
      <c r="F25" s="230"/>
      <c r="G25" s="26">
        <f t="shared" si="1"/>
        <v>0</v>
      </c>
      <c r="H25" s="27">
        <f t="shared" si="2"/>
        <v>-913784.81707317068</v>
      </c>
      <c r="I25" s="231"/>
      <c r="J25" s="26">
        <f t="shared" si="3"/>
        <v>0</v>
      </c>
      <c r="K25" s="27">
        <f t="shared" si="4"/>
        <v>0</v>
      </c>
      <c r="L25" s="83" t="s">
        <v>85</v>
      </c>
      <c r="N25" s="85" t="s">
        <v>31</v>
      </c>
      <c r="O25" s="101">
        <v>0</v>
      </c>
      <c r="P25" s="83" t="s">
        <v>92</v>
      </c>
      <c r="R25" s="143">
        <v>1</v>
      </c>
      <c r="S25" s="155">
        <v>7507.8902885299403</v>
      </c>
      <c r="T25" s="155"/>
      <c r="U25" s="155"/>
      <c r="W25"/>
      <c r="X25" s="2"/>
      <c r="Y25" s="2"/>
      <c r="Z25" s="2"/>
      <c r="AA25" s="2"/>
      <c r="AB25" s="2"/>
      <c r="AC25" s="2"/>
      <c r="AD25" s="2"/>
      <c r="AE25" s="2"/>
      <c r="AF25" s="2"/>
      <c r="AG25" s="2"/>
      <c r="AH25" s="2"/>
      <c r="AI25" s="2"/>
      <c r="AJ25" s="2"/>
      <c r="AK25" s="2"/>
      <c r="AL25" s="2"/>
      <c r="AM25" s="2"/>
      <c r="AN25" s="2"/>
      <c r="AO25" s="2"/>
      <c r="AP25" s="2"/>
      <c r="AQ25" s="2"/>
      <c r="AR25" s="2"/>
      <c r="AS25" s="2"/>
    </row>
    <row r="26" spans="2:45" ht="19" thickBot="1" x14ac:dyDescent="0.25">
      <c r="B26" s="229"/>
      <c r="C26" s="14" t="s">
        <v>68</v>
      </c>
      <c r="E26" s="22">
        <f t="shared" si="0"/>
        <v>0</v>
      </c>
      <c r="F26" s="230"/>
      <c r="G26" s="26">
        <f t="shared" si="1"/>
        <v>0</v>
      </c>
      <c r="H26" s="27">
        <f t="shared" si="2"/>
        <v>-1958640.3145845782</v>
      </c>
      <c r="I26" s="231"/>
      <c r="J26" s="26">
        <f t="shared" si="3"/>
        <v>0</v>
      </c>
      <c r="K26" s="27">
        <f t="shared" si="4"/>
        <v>0</v>
      </c>
      <c r="L26" s="83" t="s">
        <v>85</v>
      </c>
      <c r="N26" s="87" t="s">
        <v>81</v>
      </c>
      <c r="O26" s="102">
        <v>0</v>
      </c>
      <c r="P26" s="11" t="s">
        <v>89</v>
      </c>
      <c r="R26" s="143">
        <v>2</v>
      </c>
      <c r="S26" s="156">
        <f>ROUNDUP(S25,-3)</f>
        <v>8000</v>
      </c>
      <c r="T26" s="156"/>
      <c r="U26" s="156"/>
      <c r="W26"/>
      <c r="X26" s="151"/>
      <c r="Y26" s="2"/>
      <c r="Z26" s="2"/>
      <c r="AA26" s="2"/>
      <c r="AB26" s="2"/>
      <c r="AC26" s="2"/>
      <c r="AD26" s="2"/>
      <c r="AE26" s="2"/>
      <c r="AF26" s="2"/>
      <c r="AG26" s="2"/>
      <c r="AH26" s="2"/>
      <c r="AI26" s="2"/>
      <c r="AJ26" s="2"/>
      <c r="AK26" s="2"/>
      <c r="AL26" s="2"/>
      <c r="AM26" s="2"/>
      <c r="AN26" s="2"/>
      <c r="AO26" s="2"/>
      <c r="AP26" s="2"/>
      <c r="AQ26" s="2"/>
      <c r="AR26" s="2"/>
      <c r="AS26" s="2"/>
    </row>
    <row r="27" spans="2:45" ht="16" x14ac:dyDescent="0.2">
      <c r="B27" s="229"/>
      <c r="C27" s="14" t="s">
        <v>34</v>
      </c>
      <c r="E27" s="22">
        <f t="shared" si="0"/>
        <v>0</v>
      </c>
      <c r="F27" s="230"/>
      <c r="G27" s="26">
        <f t="shared" si="1"/>
        <v>0</v>
      </c>
      <c r="H27" s="27">
        <f t="shared" si="2"/>
        <v>-23838.675651343612</v>
      </c>
      <c r="I27" s="231"/>
      <c r="J27" s="26">
        <f t="shared" si="3"/>
        <v>0</v>
      </c>
      <c r="K27" s="27">
        <f t="shared" si="4"/>
        <v>0</v>
      </c>
      <c r="L27" s="83" t="s">
        <v>85</v>
      </c>
      <c r="R27" s="143">
        <v>3</v>
      </c>
      <c r="S27" s="156">
        <f>S26+1000</f>
        <v>9000</v>
      </c>
      <c r="T27" s="156"/>
      <c r="U27" s="156"/>
      <c r="W27"/>
      <c r="X27" s="151"/>
      <c r="Y27" s="2"/>
      <c r="Z27" s="2"/>
      <c r="AA27" s="2"/>
      <c r="AB27" s="2"/>
      <c r="AC27" s="2"/>
      <c r="AD27" s="2"/>
      <c r="AE27" s="2"/>
      <c r="AF27" s="2"/>
      <c r="AG27" s="2"/>
      <c r="AH27" s="2"/>
      <c r="AI27" s="2"/>
      <c r="AJ27" s="2"/>
      <c r="AK27" s="2"/>
      <c r="AL27" s="2"/>
      <c r="AM27" s="2"/>
      <c r="AN27" s="2"/>
      <c r="AO27" s="2"/>
      <c r="AP27" s="2"/>
      <c r="AQ27" s="2"/>
      <c r="AR27" s="2"/>
      <c r="AS27" s="2"/>
    </row>
    <row r="28" spans="2:45" ht="16" x14ac:dyDescent="0.2">
      <c r="B28" s="229"/>
      <c r="C28" s="14" t="s">
        <v>29</v>
      </c>
      <c r="E28" s="22">
        <f t="shared" si="0"/>
        <v>0</v>
      </c>
      <c r="F28" s="230"/>
      <c r="G28" s="26">
        <f t="shared" si="1"/>
        <v>0</v>
      </c>
      <c r="H28" s="27">
        <f t="shared" si="2"/>
        <v>0</v>
      </c>
      <c r="I28" s="231"/>
      <c r="J28" s="26">
        <f t="shared" si="3"/>
        <v>0</v>
      </c>
      <c r="K28" s="138">
        <f>S9</f>
        <v>0</v>
      </c>
      <c r="L28" s="83" t="s">
        <v>85</v>
      </c>
      <c r="R28" s="143">
        <v>4</v>
      </c>
      <c r="S28" s="156">
        <f t="shared" ref="S28:S34" si="5">S27+1000</f>
        <v>10000</v>
      </c>
      <c r="T28" s="156"/>
      <c r="U28" s="156"/>
      <c r="W28"/>
      <c r="X28" s="151"/>
      <c r="Y28" s="2"/>
      <c r="Z28" s="2"/>
      <c r="AA28" s="2"/>
      <c r="AB28" s="2"/>
      <c r="AC28" s="2"/>
      <c r="AD28" s="2"/>
      <c r="AE28" s="2"/>
      <c r="AF28" s="2"/>
      <c r="AG28" s="2"/>
      <c r="AH28" s="2"/>
      <c r="AI28" s="2"/>
      <c r="AJ28" s="2"/>
      <c r="AK28" s="2"/>
      <c r="AL28" s="2"/>
      <c r="AM28" s="2"/>
      <c r="AN28" s="2"/>
      <c r="AO28" s="2"/>
      <c r="AP28" s="2"/>
      <c r="AQ28" s="2"/>
      <c r="AR28" s="2"/>
      <c r="AS28" s="2"/>
    </row>
    <row r="29" spans="2:45" ht="16" x14ac:dyDescent="0.2">
      <c r="B29" s="229"/>
      <c r="C29" s="14" t="s">
        <v>74</v>
      </c>
      <c r="E29" s="22">
        <f t="shared" si="0"/>
        <v>0</v>
      </c>
      <c r="F29" s="230"/>
      <c r="G29" s="26">
        <f t="shared" si="1"/>
        <v>0</v>
      </c>
      <c r="H29" s="27">
        <f t="shared" si="2"/>
        <v>0</v>
      </c>
      <c r="I29" s="231"/>
      <c r="J29" s="26">
        <f t="shared" si="3"/>
        <v>0</v>
      </c>
      <c r="K29" s="27">
        <f t="shared" si="4"/>
        <v>100000</v>
      </c>
      <c r="L29" s="83" t="s">
        <v>85</v>
      </c>
      <c r="R29" s="143">
        <v>5</v>
      </c>
      <c r="S29" s="156">
        <f t="shared" si="5"/>
        <v>11000</v>
      </c>
      <c r="T29" s="156"/>
      <c r="U29" s="156"/>
      <c r="W29"/>
      <c r="X29" s="151"/>
      <c r="Y29" s="2"/>
      <c r="Z29" s="2"/>
      <c r="AA29" s="2"/>
      <c r="AB29" s="2"/>
      <c r="AC29" s="2"/>
      <c r="AD29" s="2"/>
      <c r="AE29" s="2"/>
      <c r="AF29" s="2"/>
      <c r="AG29" s="2"/>
      <c r="AH29" s="2"/>
      <c r="AI29" s="2"/>
      <c r="AJ29" s="2"/>
      <c r="AK29" s="2"/>
      <c r="AL29" s="2"/>
      <c r="AM29" s="2"/>
      <c r="AN29" s="2"/>
      <c r="AO29" s="2"/>
      <c r="AP29" s="2"/>
      <c r="AQ29" s="2"/>
      <c r="AR29" s="2"/>
      <c r="AS29" s="2"/>
    </row>
    <row r="30" spans="2:45" ht="17" thickBot="1" x14ac:dyDescent="0.25">
      <c r="B30" s="229"/>
      <c r="C30" s="39" t="s">
        <v>75</v>
      </c>
      <c r="E30" s="22">
        <f t="shared" si="0"/>
        <v>0</v>
      </c>
      <c r="F30" s="230"/>
      <c r="G30" s="26">
        <f t="shared" si="1"/>
        <v>0</v>
      </c>
      <c r="H30" s="27">
        <f t="shared" si="2"/>
        <v>0</v>
      </c>
      <c r="I30" s="231"/>
      <c r="J30" s="26">
        <f t="shared" si="3"/>
        <v>0</v>
      </c>
      <c r="K30" s="27">
        <f t="shared" si="4"/>
        <v>0</v>
      </c>
      <c r="L30" s="83" t="s">
        <v>85</v>
      </c>
      <c r="N30" s="226" t="s">
        <v>99</v>
      </c>
      <c r="O30" s="227"/>
      <c r="P30" s="228"/>
      <c r="R30" s="143">
        <v>6</v>
      </c>
      <c r="S30" s="156">
        <f t="shared" si="5"/>
        <v>12000</v>
      </c>
      <c r="T30" s="156"/>
      <c r="U30" s="156"/>
      <c r="W30"/>
      <c r="X30" s="151"/>
      <c r="Y30" s="2"/>
      <c r="Z30" s="2"/>
      <c r="AA30" s="2"/>
      <c r="AB30" s="2"/>
      <c r="AC30" s="2"/>
      <c r="AD30" s="2"/>
      <c r="AE30" s="2"/>
      <c r="AF30" s="2"/>
      <c r="AG30" s="2"/>
      <c r="AH30" s="2"/>
      <c r="AI30" s="2"/>
      <c r="AJ30" s="2"/>
      <c r="AK30" s="2"/>
      <c r="AL30" s="2"/>
      <c r="AM30" s="2"/>
      <c r="AN30" s="2"/>
      <c r="AO30" s="2"/>
      <c r="AP30" s="2"/>
      <c r="AQ30" s="2"/>
      <c r="AR30" s="2"/>
      <c r="AS30" s="2"/>
    </row>
    <row r="31" spans="2:45" ht="16" x14ac:dyDescent="0.2">
      <c r="B31" s="229"/>
      <c r="C31" s="142" t="s">
        <v>27</v>
      </c>
      <c r="E31" s="22">
        <f t="shared" si="0"/>
        <v>0</v>
      </c>
      <c r="F31" s="230"/>
      <c r="G31" s="26">
        <f t="shared" si="1"/>
        <v>0</v>
      </c>
      <c r="H31" s="27">
        <f t="shared" si="2"/>
        <v>0</v>
      </c>
      <c r="I31" s="231"/>
      <c r="J31" s="26">
        <f t="shared" si="3"/>
        <v>0</v>
      </c>
      <c r="K31" s="27">
        <f t="shared" si="4"/>
        <v>0</v>
      </c>
      <c r="L31" s="83" t="s">
        <v>85</v>
      </c>
      <c r="N31" s="229" t="s">
        <v>100</v>
      </c>
      <c r="O31" s="223"/>
      <c r="P31" s="16">
        <v>0.12</v>
      </c>
      <c r="R31" s="143">
        <v>7</v>
      </c>
      <c r="S31" s="156">
        <f t="shared" si="5"/>
        <v>13000</v>
      </c>
      <c r="T31" s="156"/>
      <c r="U31" s="156"/>
      <c r="W31"/>
      <c r="X31" s="151"/>
      <c r="Y31" s="2"/>
      <c r="Z31" s="2"/>
      <c r="AA31" s="2"/>
      <c r="AB31" s="2"/>
      <c r="AC31" s="2"/>
      <c r="AD31" s="2"/>
      <c r="AE31" s="2"/>
      <c r="AF31" s="2"/>
      <c r="AG31" s="2"/>
      <c r="AH31" s="2"/>
      <c r="AI31" s="2"/>
      <c r="AJ31" s="2"/>
      <c r="AK31" s="2"/>
      <c r="AL31" s="2"/>
      <c r="AM31" s="2"/>
      <c r="AN31" s="2"/>
      <c r="AO31" s="2"/>
      <c r="AP31" s="2"/>
      <c r="AQ31" s="2"/>
      <c r="AR31" s="2"/>
      <c r="AS31" s="2"/>
    </row>
    <row r="32" spans="2:45" ht="17" thickBot="1" x14ac:dyDescent="0.25">
      <c r="B32" s="229"/>
      <c r="C32" s="14" t="s">
        <v>33</v>
      </c>
      <c r="E32" s="22">
        <f t="shared" si="0"/>
        <v>0</v>
      </c>
      <c r="F32" s="230"/>
      <c r="G32" s="26">
        <f t="shared" si="1"/>
        <v>0</v>
      </c>
      <c r="H32" s="27">
        <f t="shared" si="2"/>
        <v>0</v>
      </c>
      <c r="I32" s="231"/>
      <c r="J32" s="26">
        <f t="shared" si="3"/>
        <v>0</v>
      </c>
      <c r="K32" s="27">
        <f t="shared" si="4"/>
        <v>100000</v>
      </c>
      <c r="L32" s="83" t="s">
        <v>85</v>
      </c>
      <c r="N32" s="229" t="s">
        <v>101</v>
      </c>
      <c r="O32" s="223"/>
      <c r="P32" s="19">
        <v>180</v>
      </c>
      <c r="R32" s="143">
        <v>8</v>
      </c>
      <c r="S32" s="156">
        <f t="shared" si="5"/>
        <v>14000</v>
      </c>
      <c r="T32" s="156"/>
      <c r="U32" s="156"/>
      <c r="W32"/>
      <c r="X32" s="151"/>
      <c r="Y32" s="2"/>
      <c r="Z32" s="2"/>
      <c r="AA32" s="2"/>
      <c r="AB32" s="2"/>
      <c r="AC32" s="2"/>
      <c r="AD32" s="2"/>
      <c r="AE32" s="2"/>
      <c r="AF32" s="2"/>
      <c r="AG32" s="2"/>
      <c r="AH32" s="2"/>
      <c r="AI32" s="2"/>
      <c r="AJ32" s="2"/>
      <c r="AK32" s="2"/>
      <c r="AL32" s="2"/>
      <c r="AM32" s="2"/>
      <c r="AN32" s="2"/>
      <c r="AO32" s="2"/>
      <c r="AP32" s="2"/>
      <c r="AQ32" s="2"/>
      <c r="AR32" s="2"/>
      <c r="AS32" s="2"/>
    </row>
    <row r="33" spans="2:45" ht="19" thickBot="1" x14ac:dyDescent="0.25">
      <c r="B33" s="229"/>
      <c r="C33" s="14" t="s">
        <v>102</v>
      </c>
      <c r="E33" s="23">
        <f t="shared" si="0"/>
        <v>0</v>
      </c>
      <c r="F33" s="230"/>
      <c r="G33" s="28">
        <f t="shared" si="1"/>
        <v>0</v>
      </c>
      <c r="H33" s="29">
        <f t="shared" si="2"/>
        <v>0</v>
      </c>
      <c r="I33" s="231"/>
      <c r="J33" s="28">
        <f t="shared" si="3"/>
        <v>0</v>
      </c>
      <c r="K33" s="29">
        <f t="shared" si="4"/>
        <v>20000</v>
      </c>
      <c r="L33" s="83" t="s">
        <v>85</v>
      </c>
      <c r="N33" s="12"/>
      <c r="O33" s="2"/>
      <c r="P33" s="13"/>
      <c r="R33" s="143">
        <v>9</v>
      </c>
      <c r="S33" s="156">
        <f t="shared" si="5"/>
        <v>15000</v>
      </c>
      <c r="T33" s="156"/>
      <c r="U33" s="156"/>
      <c r="W33"/>
      <c r="X33" s="151"/>
      <c r="Y33" s="2"/>
      <c r="Z33" s="2"/>
      <c r="AA33" s="2"/>
      <c r="AB33" s="2"/>
      <c r="AC33" s="2"/>
      <c r="AD33" s="2"/>
      <c r="AE33" s="2"/>
      <c r="AF33" s="2"/>
      <c r="AG33" s="2"/>
      <c r="AH33" s="2"/>
      <c r="AI33" s="2"/>
      <c r="AJ33" s="2"/>
      <c r="AK33" s="2"/>
      <c r="AL33" s="2"/>
      <c r="AM33" s="2"/>
      <c r="AN33" s="2"/>
      <c r="AO33" s="2"/>
      <c r="AP33" s="2"/>
      <c r="AQ33" s="2"/>
      <c r="AR33" s="2"/>
      <c r="AS33" s="2"/>
    </row>
    <row r="34" spans="2:45" ht="16" thickBot="1" x14ac:dyDescent="0.25">
      <c r="B34" s="85"/>
      <c r="F34" s="2"/>
      <c r="G34" s="2"/>
      <c r="H34" s="2"/>
      <c r="I34" s="2"/>
      <c r="J34" s="2"/>
      <c r="K34" s="2"/>
      <c r="L34" s="83"/>
      <c r="N34" s="239" t="s">
        <v>103</v>
      </c>
      <c r="O34" s="240"/>
      <c r="P34" s="241"/>
      <c r="R34" s="143">
        <v>10</v>
      </c>
      <c r="S34" s="156">
        <f t="shared" si="5"/>
        <v>16000</v>
      </c>
      <c r="T34" s="156"/>
      <c r="U34" s="156"/>
      <c r="W34"/>
      <c r="X34" s="151"/>
      <c r="Y34" s="2"/>
      <c r="Z34" s="2"/>
      <c r="AA34" s="2"/>
      <c r="AB34" s="2"/>
      <c r="AC34" s="2"/>
      <c r="AD34" s="2"/>
      <c r="AE34" s="2"/>
      <c r="AF34" s="2"/>
      <c r="AG34" s="2"/>
      <c r="AH34" s="2"/>
      <c r="AI34" s="2"/>
      <c r="AJ34" s="2"/>
      <c r="AK34" s="2"/>
      <c r="AL34" s="2"/>
      <c r="AM34" s="2"/>
      <c r="AN34" s="2"/>
      <c r="AO34" s="2"/>
      <c r="AP34" s="2"/>
      <c r="AQ34" s="2"/>
      <c r="AR34" s="2"/>
      <c r="AS34" s="2"/>
    </row>
    <row r="35" spans="2:45" ht="17" thickBot="1" x14ac:dyDescent="0.25">
      <c r="B35" s="12"/>
      <c r="C35" s="2"/>
      <c r="D35" s="39" t="s">
        <v>94</v>
      </c>
      <c r="E35" s="39" t="s">
        <v>95</v>
      </c>
      <c r="H35" s="240" t="s">
        <v>104</v>
      </c>
      <c r="I35" s="223"/>
      <c r="J35" s="223"/>
      <c r="K35" s="2"/>
      <c r="L35" s="83"/>
      <c r="N35" s="85" t="s">
        <v>105</v>
      </c>
      <c r="O35" s="34">
        <f>(E20*E19)+(F20*F19)+(G20*G19)+(H20*H19)+(I19*I20)+(J19*J20)+(K20*K19)+(L19*L20)+(M19*M20)</f>
        <v>0</v>
      </c>
      <c r="P35" s="83" t="s">
        <v>87</v>
      </c>
      <c r="R35" s="6"/>
      <c r="S35"/>
      <c r="T35"/>
      <c r="U35"/>
      <c r="V35"/>
      <c r="W35"/>
      <c r="X35" s="2"/>
      <c r="Y35" s="2"/>
      <c r="Z35" s="2"/>
      <c r="AA35" s="2"/>
      <c r="AB35" s="2"/>
      <c r="AC35" s="2"/>
      <c r="AD35" s="2"/>
      <c r="AE35" s="2"/>
      <c r="AF35" s="2"/>
      <c r="AG35" s="2"/>
      <c r="AH35" s="2"/>
      <c r="AI35" s="2"/>
      <c r="AJ35" s="2"/>
      <c r="AK35" s="2"/>
      <c r="AL35" s="2"/>
      <c r="AM35" s="2"/>
      <c r="AN35" s="2"/>
      <c r="AO35" s="2"/>
      <c r="AP35" s="2"/>
      <c r="AQ35" s="2"/>
      <c r="AR35" s="2"/>
      <c r="AS35" s="2"/>
    </row>
    <row r="36" spans="2:45" ht="16" x14ac:dyDescent="0.2">
      <c r="B36" s="229" t="s">
        <v>106</v>
      </c>
      <c r="C36" s="39" t="s">
        <v>55</v>
      </c>
      <c r="D36" s="137">
        <f>O18</f>
        <v>0</v>
      </c>
      <c r="E36" s="25">
        <f>10000*E20</f>
        <v>0</v>
      </c>
      <c r="F36" s="39" t="s">
        <v>85</v>
      </c>
      <c r="G36" s="2"/>
      <c r="H36" s="223" t="s">
        <v>55</v>
      </c>
      <c r="I36" s="223"/>
      <c r="J36" s="98">
        <f>E20</f>
        <v>0</v>
      </c>
      <c r="K36" s="2"/>
      <c r="L36" s="83"/>
      <c r="N36" s="85" t="s">
        <v>107</v>
      </c>
      <c r="O36" s="35">
        <f>(E18*O18)+(F18*O19)+(G18*O20)+(H18*O21)+(I18*O22)+(J18*O23)+(K18*O24)+(L18*O25)+(M18*O26)</f>
        <v>0</v>
      </c>
      <c r="P36" s="83" t="s">
        <v>87</v>
      </c>
      <c r="R36" s="6"/>
      <c r="S36"/>
      <c r="T36" s="152" t="s">
        <v>10</v>
      </c>
      <c r="U36"/>
      <c r="V36"/>
      <c r="W36"/>
      <c r="X36" s="2"/>
      <c r="Y36" s="2"/>
      <c r="Z36" s="2"/>
      <c r="AA36" s="2"/>
      <c r="AB36" s="2"/>
      <c r="AC36" s="2"/>
      <c r="AD36" s="2"/>
      <c r="AE36" s="2"/>
      <c r="AF36" s="2"/>
      <c r="AG36" s="2"/>
      <c r="AH36" s="2"/>
      <c r="AI36" s="2"/>
      <c r="AJ36" s="2"/>
      <c r="AK36" s="2"/>
      <c r="AL36" s="2"/>
      <c r="AM36" s="2"/>
      <c r="AN36" s="2"/>
      <c r="AO36" s="2"/>
      <c r="AP36" s="2"/>
      <c r="AQ36" s="2"/>
      <c r="AR36" s="2"/>
      <c r="AS36" s="2"/>
    </row>
    <row r="37" spans="2:45" ht="16" x14ac:dyDescent="0.2">
      <c r="B37" s="229"/>
      <c r="C37" s="39" t="s">
        <v>88</v>
      </c>
      <c r="D37" s="26">
        <f t="shared" ref="D37:D44" si="6">O19</f>
        <v>0</v>
      </c>
      <c r="E37" s="27">
        <f>10000*F20</f>
        <v>0</v>
      </c>
      <c r="F37" s="39" t="s">
        <v>85</v>
      </c>
      <c r="G37" s="2"/>
      <c r="H37" s="223" t="s">
        <v>88</v>
      </c>
      <c r="I37" s="223"/>
      <c r="J37" s="99">
        <f>F20</f>
        <v>0</v>
      </c>
      <c r="K37" s="2"/>
      <c r="L37" s="83"/>
      <c r="N37" s="85" t="s">
        <v>108</v>
      </c>
      <c r="O37" s="35">
        <f>SUM(O35:O36)</f>
        <v>0</v>
      </c>
      <c r="P37" s="83" t="s">
        <v>87</v>
      </c>
      <c r="R37" s="6"/>
      <c r="S37" s="6"/>
      <c r="T37" s="6"/>
      <c r="U37" s="6"/>
      <c r="V37" s="6"/>
      <c r="X37" s="2"/>
      <c r="Y37" s="2"/>
      <c r="Z37" s="2"/>
      <c r="AA37" s="2"/>
      <c r="AB37" s="2"/>
      <c r="AC37" s="2"/>
      <c r="AD37" s="2"/>
      <c r="AE37" s="2"/>
      <c r="AF37" s="2"/>
      <c r="AG37" s="2"/>
      <c r="AH37" s="2"/>
      <c r="AI37" s="2"/>
      <c r="AJ37" s="2"/>
      <c r="AK37" s="2"/>
      <c r="AL37" s="2"/>
      <c r="AM37" s="2"/>
      <c r="AN37" s="2"/>
      <c r="AO37" s="2"/>
      <c r="AP37" s="2"/>
      <c r="AQ37" s="2"/>
      <c r="AR37" s="2"/>
      <c r="AS37" s="2"/>
    </row>
    <row r="38" spans="2:45" ht="17" thickBot="1" x14ac:dyDescent="0.25">
      <c r="B38" s="229"/>
      <c r="C38" s="39" t="s">
        <v>25</v>
      </c>
      <c r="D38" s="26">
        <f t="shared" si="6"/>
        <v>0</v>
      </c>
      <c r="E38" s="27">
        <f>10000*G20</f>
        <v>0</v>
      </c>
      <c r="F38" s="39" t="s">
        <v>85</v>
      </c>
      <c r="G38" s="2"/>
      <c r="H38" s="223" t="s">
        <v>25</v>
      </c>
      <c r="I38" s="223"/>
      <c r="J38" s="22">
        <f>G20</f>
        <v>0</v>
      </c>
      <c r="K38" s="2"/>
      <c r="L38" s="83"/>
      <c r="N38" s="85" t="s">
        <v>109</v>
      </c>
      <c r="O38" s="36">
        <f>P31*O37</f>
        <v>0</v>
      </c>
      <c r="P38" s="83" t="s">
        <v>87</v>
      </c>
      <c r="R38" s="6"/>
      <c r="S38" s="6"/>
      <c r="T38" s="6"/>
      <c r="U38" s="6"/>
      <c r="V38" s="6"/>
      <c r="X38" s="2"/>
      <c r="Y38" s="2"/>
      <c r="Z38" s="2"/>
      <c r="AA38" s="2"/>
      <c r="AB38" s="2"/>
      <c r="AC38" s="2"/>
      <c r="AD38" s="2"/>
      <c r="AE38" s="2"/>
      <c r="AF38" s="2"/>
      <c r="AG38" s="2"/>
      <c r="AH38" s="2"/>
      <c r="AI38" s="2"/>
      <c r="AJ38" s="2"/>
      <c r="AK38" s="2"/>
      <c r="AL38" s="2"/>
      <c r="AM38" s="2"/>
      <c r="AN38" s="2"/>
      <c r="AO38" s="2"/>
      <c r="AP38" s="2"/>
      <c r="AQ38" s="2"/>
      <c r="AR38" s="2"/>
      <c r="AS38" s="2"/>
    </row>
    <row r="39" spans="2:45" ht="16" customHeight="1" x14ac:dyDescent="0.2">
      <c r="B39" s="229"/>
      <c r="C39" s="39" t="s">
        <v>35</v>
      </c>
      <c r="D39" s="26">
        <f t="shared" si="6"/>
        <v>0</v>
      </c>
      <c r="E39" s="27">
        <f>10000*H20</f>
        <v>0</v>
      </c>
      <c r="F39" s="39" t="s">
        <v>85</v>
      </c>
      <c r="G39" s="2"/>
      <c r="H39" s="223" t="s">
        <v>35</v>
      </c>
      <c r="I39" s="223"/>
      <c r="J39" s="22">
        <f>H20</f>
        <v>0</v>
      </c>
      <c r="K39" s="2"/>
      <c r="L39" s="83"/>
      <c r="N39" s="85"/>
      <c r="P39" s="83"/>
      <c r="R39" s="6"/>
      <c r="S39" s="6"/>
      <c r="T39" s="6"/>
      <c r="U39" s="6"/>
      <c r="V39" s="6"/>
      <c r="X39" s="2"/>
      <c r="Y39" s="2"/>
      <c r="Z39" s="2"/>
      <c r="AA39" s="2"/>
      <c r="AB39" s="2"/>
      <c r="AC39" s="2"/>
      <c r="AD39" s="2"/>
      <c r="AE39" s="2"/>
      <c r="AF39" s="2"/>
      <c r="AG39" s="2"/>
      <c r="AH39" s="2"/>
      <c r="AI39" s="2"/>
      <c r="AJ39" s="2"/>
      <c r="AK39" s="2"/>
      <c r="AL39" s="2"/>
      <c r="AM39" s="2"/>
      <c r="AN39" s="2"/>
      <c r="AO39" s="2"/>
      <c r="AP39" s="2"/>
      <c r="AQ39" s="2"/>
      <c r="AR39" s="2"/>
      <c r="AS39" s="2"/>
    </row>
    <row r="40" spans="2:45" ht="17" thickBot="1" x14ac:dyDescent="0.25">
      <c r="B40" s="229"/>
      <c r="C40" s="39" t="s">
        <v>37</v>
      </c>
      <c r="D40" s="26">
        <f t="shared" si="6"/>
        <v>0</v>
      </c>
      <c r="E40" s="27">
        <f>10000*I20</f>
        <v>0</v>
      </c>
      <c r="F40" s="39" t="s">
        <v>85</v>
      </c>
      <c r="H40" s="223" t="s">
        <v>37</v>
      </c>
      <c r="I40" s="223"/>
      <c r="J40" s="22">
        <f>I20</f>
        <v>0</v>
      </c>
      <c r="K40" s="2"/>
      <c r="L40" s="83"/>
      <c r="N40" s="239" t="s">
        <v>110</v>
      </c>
      <c r="O40" s="240"/>
      <c r="P40" s="241"/>
      <c r="R40" s="6"/>
      <c r="S40" s="6"/>
      <c r="T40" s="6"/>
      <c r="U40" s="6"/>
      <c r="V40" s="6"/>
      <c r="X40" s="2"/>
      <c r="Y40" s="2"/>
      <c r="Z40" s="2"/>
      <c r="AA40" s="2"/>
      <c r="AB40" s="2"/>
      <c r="AC40" s="2"/>
      <c r="AD40" s="2"/>
      <c r="AE40" s="2"/>
      <c r="AF40" s="2"/>
      <c r="AG40" s="2"/>
      <c r="AH40" s="2"/>
      <c r="AI40" s="2"/>
      <c r="AJ40" s="2"/>
      <c r="AK40" s="2"/>
      <c r="AL40" s="2"/>
      <c r="AM40" s="2"/>
      <c r="AN40" s="2"/>
      <c r="AO40" s="2"/>
      <c r="AP40" s="2"/>
      <c r="AQ40" s="2"/>
      <c r="AR40" s="2"/>
      <c r="AS40" s="2"/>
    </row>
    <row r="41" spans="2:45" ht="16" x14ac:dyDescent="0.2">
      <c r="B41" s="229"/>
      <c r="C41" s="39" t="s">
        <v>57</v>
      </c>
      <c r="D41" s="26">
        <f t="shared" si="6"/>
        <v>0</v>
      </c>
      <c r="E41" s="27">
        <f>10000*J20</f>
        <v>0</v>
      </c>
      <c r="F41" s="39" t="s">
        <v>85</v>
      </c>
      <c r="H41" s="223" t="s">
        <v>57</v>
      </c>
      <c r="I41" s="223"/>
      <c r="J41" s="22">
        <f>J20</f>
        <v>0</v>
      </c>
      <c r="L41" s="15"/>
      <c r="N41" s="85" t="s">
        <v>26</v>
      </c>
      <c r="O41" s="34">
        <f t="shared" ref="O41:O50" si="7">U5*O5*$P$32</f>
        <v>0</v>
      </c>
      <c r="P41" s="83" t="s">
        <v>87</v>
      </c>
      <c r="R41" s="6"/>
      <c r="S41" s="6"/>
      <c r="T41" s="6"/>
      <c r="U41" s="6"/>
      <c r="V41" s="6"/>
      <c r="X41" s="2"/>
      <c r="Y41" s="2"/>
      <c r="Z41" s="2"/>
      <c r="AA41" s="2"/>
      <c r="AB41" s="2"/>
      <c r="AC41" s="2"/>
      <c r="AD41" s="2"/>
      <c r="AE41" s="2"/>
      <c r="AF41" s="2"/>
      <c r="AG41" s="2"/>
      <c r="AH41" s="2"/>
      <c r="AI41" s="2"/>
      <c r="AJ41" s="2"/>
      <c r="AK41" s="2"/>
      <c r="AL41" s="2"/>
      <c r="AM41" s="2"/>
      <c r="AN41" s="2"/>
      <c r="AO41" s="2"/>
      <c r="AP41" s="2"/>
      <c r="AQ41" s="2"/>
      <c r="AR41" s="2"/>
      <c r="AS41" s="2"/>
    </row>
    <row r="42" spans="2:45" ht="16" x14ac:dyDescent="0.2">
      <c r="B42" s="229"/>
      <c r="C42" s="39" t="s">
        <v>80</v>
      </c>
      <c r="D42" s="26">
        <f t="shared" si="6"/>
        <v>0</v>
      </c>
      <c r="E42" s="27">
        <f>10000*K20</f>
        <v>0</v>
      </c>
      <c r="F42" s="39" t="s">
        <v>85</v>
      </c>
      <c r="H42" s="223" t="s">
        <v>80</v>
      </c>
      <c r="I42" s="223"/>
      <c r="J42" s="22">
        <f>K20</f>
        <v>0</v>
      </c>
      <c r="L42" s="83"/>
      <c r="M42" s="6"/>
      <c r="N42" s="38" t="s">
        <v>63</v>
      </c>
      <c r="O42" s="35">
        <f t="shared" si="7"/>
        <v>0</v>
      </c>
      <c r="P42" s="83" t="s">
        <v>87</v>
      </c>
      <c r="R42" s="6"/>
      <c r="S42" s="6"/>
      <c r="T42" s="6"/>
      <c r="U42" s="6"/>
      <c r="V42" s="6"/>
      <c r="X42" s="2"/>
      <c r="Y42" s="2"/>
      <c r="Z42" s="2"/>
      <c r="AA42" s="2"/>
      <c r="AB42" s="2"/>
      <c r="AC42" s="2"/>
      <c r="AD42" s="2"/>
      <c r="AE42" s="2"/>
      <c r="AF42" s="2"/>
      <c r="AG42" s="2"/>
      <c r="AH42" s="2"/>
      <c r="AI42" s="2"/>
      <c r="AJ42" s="2"/>
      <c r="AK42" s="2"/>
      <c r="AL42" s="2"/>
      <c r="AM42" s="2"/>
      <c r="AN42" s="2"/>
      <c r="AO42" s="2"/>
      <c r="AP42" s="2"/>
      <c r="AQ42" s="2"/>
      <c r="AR42" s="2"/>
      <c r="AS42" s="2"/>
    </row>
    <row r="43" spans="2:45" ht="16" customHeight="1" x14ac:dyDescent="0.2">
      <c r="B43" s="229"/>
      <c r="C43" s="39" t="s">
        <v>31</v>
      </c>
      <c r="D43" s="26">
        <f t="shared" si="6"/>
        <v>0</v>
      </c>
      <c r="E43" s="27">
        <f>10000*L20</f>
        <v>0</v>
      </c>
      <c r="F43" s="39" t="s">
        <v>85</v>
      </c>
      <c r="H43" s="223" t="s">
        <v>31</v>
      </c>
      <c r="I43" s="223"/>
      <c r="J43" s="22">
        <f>L20</f>
        <v>0</v>
      </c>
      <c r="L43" s="83"/>
      <c r="M43" s="6"/>
      <c r="N43" s="38" t="s">
        <v>68</v>
      </c>
      <c r="O43" s="35">
        <f t="shared" si="7"/>
        <v>0</v>
      </c>
      <c r="P43" s="83" t="s">
        <v>87</v>
      </c>
      <c r="R43" s="6"/>
      <c r="S43" s="6"/>
      <c r="T43" s="6"/>
      <c r="U43" s="6"/>
      <c r="V43" s="6"/>
      <c r="X43" s="2"/>
      <c r="Y43" s="2"/>
      <c r="Z43" s="2"/>
      <c r="AA43" s="2"/>
      <c r="AB43" s="2"/>
      <c r="AC43" s="2"/>
      <c r="AD43" s="2"/>
      <c r="AE43" s="2"/>
      <c r="AF43" s="2"/>
      <c r="AG43" s="2"/>
      <c r="AH43" s="2"/>
      <c r="AI43" s="2"/>
      <c r="AJ43" s="2"/>
      <c r="AK43" s="2"/>
      <c r="AL43" s="2"/>
      <c r="AM43" s="2"/>
      <c r="AN43" s="2"/>
      <c r="AO43" s="2"/>
      <c r="AP43" s="2"/>
      <c r="AQ43" s="2"/>
      <c r="AR43" s="2"/>
      <c r="AS43" s="2"/>
    </row>
    <row r="44" spans="2:45" ht="17" thickBot="1" x14ac:dyDescent="0.25">
      <c r="B44" s="242"/>
      <c r="C44" s="88" t="s">
        <v>81</v>
      </c>
      <c r="D44" s="28">
        <f t="shared" si="6"/>
        <v>0</v>
      </c>
      <c r="E44" s="29">
        <f>10000*M20</f>
        <v>0</v>
      </c>
      <c r="F44" s="88" t="s">
        <v>85</v>
      </c>
      <c r="G44" s="88"/>
      <c r="H44" s="243" t="s">
        <v>81</v>
      </c>
      <c r="I44" s="243"/>
      <c r="J44" s="23">
        <f>M20</f>
        <v>0</v>
      </c>
      <c r="K44" s="88"/>
      <c r="L44" s="11"/>
      <c r="M44" s="6"/>
      <c r="N44" s="38" t="s">
        <v>34</v>
      </c>
      <c r="O44" s="35">
        <f t="shared" si="7"/>
        <v>0</v>
      </c>
      <c r="P44" s="83" t="s">
        <v>87</v>
      </c>
      <c r="R44" s="6"/>
      <c r="S44" s="6"/>
      <c r="T44" s="6"/>
      <c r="U44" s="6"/>
      <c r="V44" s="6"/>
      <c r="X44" s="2"/>
      <c r="Y44" s="2"/>
      <c r="Z44" s="2"/>
      <c r="AA44" s="2"/>
      <c r="AB44" s="2"/>
      <c r="AC44" s="2"/>
      <c r="AD44" s="2"/>
      <c r="AE44" s="2"/>
      <c r="AF44" s="2"/>
      <c r="AG44" s="2"/>
      <c r="AH44" s="2"/>
      <c r="AI44" s="2"/>
      <c r="AJ44" s="2"/>
      <c r="AK44" s="2"/>
      <c r="AL44" s="2"/>
      <c r="AM44" s="2"/>
      <c r="AN44" s="2"/>
      <c r="AO44" s="2"/>
      <c r="AP44" s="2"/>
      <c r="AQ44" s="2"/>
      <c r="AR44" s="2"/>
      <c r="AS44" s="2"/>
    </row>
    <row r="45" spans="2:45" ht="16" x14ac:dyDescent="0.2">
      <c r="M45" s="6"/>
      <c r="N45" s="38" t="s">
        <v>29</v>
      </c>
      <c r="O45" s="35">
        <f t="shared" si="7"/>
        <v>0</v>
      </c>
      <c r="P45" s="83" t="s">
        <v>87</v>
      </c>
      <c r="R45" s="6"/>
      <c r="S45" s="6"/>
      <c r="T45" s="6"/>
      <c r="U45" s="6"/>
      <c r="V45" s="6"/>
      <c r="X45" s="2"/>
      <c r="Y45" s="2"/>
      <c r="Z45" s="2"/>
      <c r="AA45" s="2"/>
      <c r="AB45" s="2"/>
      <c r="AC45" s="2"/>
      <c r="AD45" s="2"/>
      <c r="AE45" s="2"/>
      <c r="AF45" s="2"/>
      <c r="AG45" s="2"/>
      <c r="AH45" s="2"/>
      <c r="AI45" s="2"/>
      <c r="AJ45" s="2"/>
      <c r="AK45" s="2"/>
      <c r="AL45" s="2"/>
      <c r="AM45" s="2"/>
      <c r="AN45" s="2"/>
      <c r="AO45" s="2"/>
      <c r="AP45" s="2"/>
      <c r="AQ45" s="2"/>
      <c r="AR45" s="2"/>
      <c r="AS45" s="2"/>
    </row>
    <row r="46" spans="2:45" ht="16" x14ac:dyDescent="0.2">
      <c r="M46" s="6"/>
      <c r="N46" s="38" t="s">
        <v>74</v>
      </c>
      <c r="O46" s="35">
        <f t="shared" si="7"/>
        <v>0</v>
      </c>
      <c r="P46" s="83" t="s">
        <v>87</v>
      </c>
      <c r="R46" s="6"/>
      <c r="S46" s="6"/>
      <c r="T46" s="6"/>
      <c r="U46" s="6"/>
      <c r="V46" s="6"/>
      <c r="X46" s="2"/>
      <c r="Y46" s="2"/>
      <c r="Z46" s="2"/>
      <c r="AA46" s="2"/>
      <c r="AB46" s="2"/>
      <c r="AC46" s="2"/>
      <c r="AD46" s="2"/>
      <c r="AE46" s="2"/>
      <c r="AF46" s="2"/>
      <c r="AG46" s="2"/>
      <c r="AH46" s="2"/>
      <c r="AI46" s="2"/>
      <c r="AJ46" s="2"/>
      <c r="AK46" s="2"/>
      <c r="AL46" s="2"/>
      <c r="AM46" s="2"/>
      <c r="AN46" s="2"/>
      <c r="AO46" s="2"/>
      <c r="AP46" s="2"/>
      <c r="AQ46" s="2"/>
      <c r="AR46" s="2"/>
      <c r="AS46" s="2"/>
    </row>
    <row r="47" spans="2:45" ht="16" x14ac:dyDescent="0.2">
      <c r="M47" s="6"/>
      <c r="N47" s="38" t="s">
        <v>75</v>
      </c>
      <c r="O47" s="35">
        <f t="shared" si="7"/>
        <v>0</v>
      </c>
      <c r="P47" s="83" t="s">
        <v>87</v>
      </c>
      <c r="R47" s="6"/>
      <c r="S47" s="6"/>
      <c r="T47" s="6"/>
      <c r="U47" s="6"/>
      <c r="V47" s="6"/>
      <c r="X47" s="2"/>
      <c r="Y47" s="2"/>
      <c r="Z47" s="2"/>
      <c r="AA47" s="2"/>
      <c r="AB47" s="2"/>
      <c r="AC47" s="2"/>
      <c r="AD47" s="2"/>
      <c r="AE47" s="2"/>
      <c r="AF47" s="2"/>
      <c r="AG47" s="2"/>
      <c r="AH47" s="2"/>
      <c r="AI47" s="2"/>
      <c r="AJ47" s="2"/>
      <c r="AK47" s="2"/>
      <c r="AL47" s="2"/>
      <c r="AM47" s="2"/>
      <c r="AN47" s="2"/>
      <c r="AO47" s="2"/>
      <c r="AP47" s="2"/>
      <c r="AQ47" s="2"/>
      <c r="AR47" s="2"/>
      <c r="AS47" s="2"/>
    </row>
    <row r="48" spans="2:45" ht="16" x14ac:dyDescent="0.2">
      <c r="M48" s="6"/>
      <c r="N48" s="38" t="s">
        <v>27</v>
      </c>
      <c r="O48" s="35">
        <f t="shared" si="7"/>
        <v>0</v>
      </c>
      <c r="P48" s="83" t="s">
        <v>87</v>
      </c>
      <c r="R48" s="6"/>
      <c r="S48" s="6"/>
      <c r="T48" s="6"/>
      <c r="U48" s="6"/>
      <c r="V48" s="6"/>
      <c r="X48" s="2"/>
      <c r="Y48" s="2"/>
      <c r="Z48" s="2"/>
      <c r="AA48" s="2"/>
      <c r="AB48" s="2"/>
      <c r="AC48" s="2"/>
      <c r="AD48" s="2"/>
      <c r="AE48" s="2"/>
      <c r="AF48" s="2"/>
      <c r="AG48" s="2"/>
      <c r="AH48" s="2"/>
      <c r="AI48" s="2"/>
      <c r="AJ48" s="2"/>
      <c r="AK48" s="2"/>
      <c r="AL48" s="2"/>
      <c r="AM48" s="2"/>
      <c r="AN48" s="2"/>
      <c r="AO48" s="2"/>
      <c r="AP48" s="2"/>
      <c r="AQ48" s="2"/>
      <c r="AR48" s="2"/>
      <c r="AS48" s="2"/>
    </row>
    <row r="49" spans="13:45" ht="16" x14ac:dyDescent="0.2">
      <c r="M49" s="6"/>
      <c r="N49" s="145" t="s">
        <v>33</v>
      </c>
      <c r="O49" s="35">
        <f t="shared" si="7"/>
        <v>0</v>
      </c>
      <c r="P49" s="148" t="s">
        <v>87</v>
      </c>
      <c r="R49" s="6"/>
      <c r="S49" s="6"/>
      <c r="T49" s="6"/>
      <c r="U49" s="6"/>
      <c r="V49" s="6"/>
      <c r="X49" s="2"/>
      <c r="Y49" s="2"/>
      <c r="Z49" s="2"/>
      <c r="AA49" s="2"/>
      <c r="AB49" s="2"/>
      <c r="AC49" s="2"/>
      <c r="AD49" s="2"/>
      <c r="AE49" s="2"/>
      <c r="AF49" s="2"/>
      <c r="AG49" s="2"/>
      <c r="AH49" s="2"/>
      <c r="AI49" s="2"/>
      <c r="AJ49" s="2"/>
      <c r="AK49" s="2"/>
      <c r="AL49" s="2"/>
      <c r="AM49" s="2"/>
      <c r="AN49" s="2"/>
      <c r="AO49" s="2"/>
      <c r="AP49" s="2"/>
      <c r="AQ49" s="2"/>
      <c r="AR49" s="2"/>
      <c r="AS49" s="2"/>
    </row>
    <row r="50" spans="13:45" ht="18" x14ac:dyDescent="0.2">
      <c r="M50" s="2"/>
      <c r="N50" s="145" t="s">
        <v>76</v>
      </c>
      <c r="O50" s="35">
        <f t="shared" si="7"/>
        <v>0</v>
      </c>
      <c r="P50" s="148" t="s">
        <v>87</v>
      </c>
      <c r="R50" s="6"/>
      <c r="S50" s="6"/>
      <c r="T50" s="6"/>
      <c r="U50" s="6"/>
      <c r="V50" s="6"/>
      <c r="X50" s="2"/>
      <c r="Y50" s="2"/>
      <c r="Z50" s="2"/>
      <c r="AA50" s="2"/>
      <c r="AB50" s="2"/>
      <c r="AC50" s="2"/>
      <c r="AD50" s="2"/>
      <c r="AE50" s="2"/>
      <c r="AF50" s="2"/>
      <c r="AG50" s="2"/>
      <c r="AH50" s="2"/>
      <c r="AI50" s="2"/>
      <c r="AJ50" s="2"/>
      <c r="AK50" s="2"/>
      <c r="AL50" s="2"/>
      <c r="AM50" s="2"/>
      <c r="AN50" s="2"/>
      <c r="AO50" s="2"/>
      <c r="AP50" s="2"/>
      <c r="AQ50" s="2"/>
      <c r="AR50" s="2"/>
      <c r="AS50" s="2"/>
    </row>
    <row r="51" spans="13:45" ht="17" thickBot="1" x14ac:dyDescent="0.25">
      <c r="N51" s="146" t="s">
        <v>111</v>
      </c>
      <c r="O51" s="36">
        <f>SUM(O41:O50)</f>
        <v>0</v>
      </c>
      <c r="P51" s="148" t="s">
        <v>87</v>
      </c>
      <c r="R51" s="6"/>
      <c r="S51" s="6"/>
      <c r="T51" s="6"/>
      <c r="U51" s="6"/>
      <c r="V51" s="6"/>
    </row>
    <row r="52" spans="13:45" ht="16" thickBot="1" x14ac:dyDescent="0.25">
      <c r="N52" s="145"/>
      <c r="O52" s="144"/>
      <c r="P52" s="148"/>
      <c r="R52" s="6"/>
      <c r="S52" s="6"/>
      <c r="T52" s="6"/>
      <c r="U52" s="6"/>
      <c r="V52" s="6"/>
    </row>
    <row r="53" spans="13:45" ht="17" thickBot="1" x14ac:dyDescent="0.25">
      <c r="N53" s="145" t="s">
        <v>161</v>
      </c>
      <c r="O53" s="34">
        <f>O51-O38</f>
        <v>0</v>
      </c>
      <c r="P53" s="148" t="s">
        <v>87</v>
      </c>
      <c r="R53" s="6"/>
      <c r="S53" s="157"/>
      <c r="T53" s="157"/>
      <c r="U53" s="157"/>
      <c r="V53" s="6"/>
    </row>
    <row r="54" spans="13:45" ht="19" thickBot="1" x14ac:dyDescent="0.25">
      <c r="N54" s="145" t="s">
        <v>166</v>
      </c>
      <c r="O54" s="150">
        <f>O14</f>
        <v>0</v>
      </c>
      <c r="P54" s="148" t="s">
        <v>77</v>
      </c>
      <c r="R54" s="6"/>
      <c r="S54" s="157"/>
      <c r="T54" s="157"/>
      <c r="U54" s="157"/>
      <c r="V54" s="6"/>
    </row>
    <row r="55" spans="13:45" x14ac:dyDescent="0.2">
      <c r="M55" s="2"/>
      <c r="N55" s="147"/>
      <c r="O55" s="20"/>
      <c r="P55" s="149"/>
      <c r="R55" s="6"/>
      <c r="S55" s="157"/>
      <c r="T55" s="157"/>
      <c r="U55" s="157"/>
      <c r="V55" s="6"/>
    </row>
    <row r="56" spans="13:45" x14ac:dyDescent="0.2">
      <c r="M56" s="2"/>
      <c r="R56" s="6"/>
      <c r="S56" s="157"/>
      <c r="T56" s="157"/>
      <c r="U56" s="157"/>
      <c r="V56" s="6"/>
    </row>
    <row r="57" spans="13:45" x14ac:dyDescent="0.2">
      <c r="M57" s="2"/>
      <c r="R57" s="6"/>
      <c r="S57" s="157"/>
      <c r="T57" s="157"/>
      <c r="U57" s="157"/>
      <c r="V57" s="6"/>
    </row>
    <row r="58" spans="13:45" x14ac:dyDescent="0.2">
      <c r="M58" s="2"/>
      <c r="R58" s="6"/>
      <c r="S58" s="157"/>
      <c r="T58" s="157"/>
      <c r="U58" s="157"/>
      <c r="V58" s="6"/>
    </row>
    <row r="59" spans="13:45" x14ac:dyDescent="0.2">
      <c r="R59" s="6"/>
      <c r="S59" s="157"/>
      <c r="T59" s="157"/>
      <c r="U59" s="157"/>
      <c r="V59" s="6"/>
    </row>
    <row r="60" spans="13:45" x14ac:dyDescent="0.2">
      <c r="O60" s="89"/>
      <c r="R60" s="6"/>
      <c r="S60" s="157"/>
      <c r="T60" s="157"/>
      <c r="U60" s="157"/>
      <c r="V60" s="6"/>
    </row>
    <row r="61" spans="13:45" x14ac:dyDescent="0.2">
      <c r="R61" s="6"/>
      <c r="S61" s="157"/>
      <c r="T61" s="157"/>
      <c r="U61" s="157"/>
      <c r="V61" s="6"/>
    </row>
    <row r="62" spans="13:45" ht="15" customHeight="1" x14ac:dyDescent="0.2">
      <c r="S62" s="157"/>
      <c r="T62" s="157"/>
      <c r="U62" s="157"/>
    </row>
    <row r="63" spans="13:45" x14ac:dyDescent="0.2">
      <c r="S63" s="157"/>
      <c r="T63" s="157"/>
      <c r="U63" s="157"/>
    </row>
    <row r="64" spans="13:45" x14ac:dyDescent="0.2">
      <c r="S64" s="157"/>
      <c r="T64" s="157"/>
      <c r="U64" s="157"/>
    </row>
    <row r="65" spans="19:21" x14ac:dyDescent="0.2">
      <c r="S65" s="157"/>
      <c r="T65" s="157"/>
      <c r="U65" s="157"/>
    </row>
    <row r="66" spans="19:21" x14ac:dyDescent="0.2">
      <c r="S66" s="157"/>
      <c r="T66" s="157"/>
      <c r="U66" s="157"/>
    </row>
    <row r="70" spans="19:21" ht="15" customHeight="1" x14ac:dyDescent="0.2"/>
  </sheetData>
  <mergeCells count="35">
    <mergeCell ref="N34:P34"/>
    <mergeCell ref="H35:J35"/>
    <mergeCell ref="B36:B44"/>
    <mergeCell ref="H36:I36"/>
    <mergeCell ref="H37:I37"/>
    <mergeCell ref="H38:I38"/>
    <mergeCell ref="H39:I39"/>
    <mergeCell ref="H44:I44"/>
    <mergeCell ref="H40:I40"/>
    <mergeCell ref="N40:P40"/>
    <mergeCell ref="H41:I41"/>
    <mergeCell ref="H42:I42"/>
    <mergeCell ref="H43:I43"/>
    <mergeCell ref="N3:N4"/>
    <mergeCell ref="S20:V20"/>
    <mergeCell ref="B22:L22"/>
    <mergeCell ref="B24:B33"/>
    <mergeCell ref="F24:F33"/>
    <mergeCell ref="I24:I33"/>
    <mergeCell ref="N30:P30"/>
    <mergeCell ref="N31:O31"/>
    <mergeCell ref="N32:O32"/>
    <mergeCell ref="B4:B14"/>
    <mergeCell ref="B2:D3"/>
    <mergeCell ref="E2:M2"/>
    <mergeCell ref="E3:G3"/>
    <mergeCell ref="H3:J3"/>
    <mergeCell ref="K3:M3"/>
    <mergeCell ref="S19:V19"/>
    <mergeCell ref="R23:U23"/>
    <mergeCell ref="O3:O4"/>
    <mergeCell ref="P3:P4"/>
    <mergeCell ref="R3:R4"/>
    <mergeCell ref="S3:S4"/>
    <mergeCell ref="U3:V4"/>
  </mergeCells>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DA7B8-EE7F-49E6-B3B5-0ED7F9585013}">
  <sheetPr codeName="Sheet4"/>
  <dimension ref="A1:XFC33"/>
  <sheetViews>
    <sheetView topLeftCell="D1" zoomScaleNormal="100" workbookViewId="0">
      <selection activeCell="R4" sqref="R4"/>
    </sheetView>
  </sheetViews>
  <sheetFormatPr baseColWidth="10" defaultColWidth="0" defaultRowHeight="15" zeroHeight="1" x14ac:dyDescent="0.2"/>
  <cols>
    <col min="1" max="1" width="23.5" customWidth="1"/>
    <col min="2" max="2" width="18.5" customWidth="1"/>
    <col min="3" max="3" width="20.6640625" customWidth="1"/>
    <col min="4" max="5" width="19" customWidth="1"/>
    <col min="6" max="6" width="15.1640625" customWidth="1"/>
    <col min="7" max="9" width="17" customWidth="1"/>
    <col min="10" max="10" width="10.5" customWidth="1"/>
    <col min="11" max="11" width="13.33203125" bestFit="1" customWidth="1"/>
    <col min="12" max="16" width="10.5" customWidth="1"/>
    <col min="17" max="17" width="12.6640625" style="61" bestFit="1" customWidth="1"/>
    <col min="18" max="18" width="10.5" customWidth="1"/>
    <col min="19" max="21" width="13.1640625" hidden="1" customWidth="1"/>
    <col min="22" max="24" width="12.83203125" hidden="1" customWidth="1"/>
    <col min="25" max="27" width="10.5" hidden="1" customWidth="1"/>
    <col min="28" max="16383" width="8.83203125" hidden="1"/>
    <col min="16384" max="16384" width="7.1640625" hidden="1" customWidth="1"/>
  </cols>
  <sheetData>
    <row r="1" spans="1:19" ht="15" customHeight="1" x14ac:dyDescent="0.2">
      <c r="A1" s="256"/>
      <c r="B1" s="55" t="s">
        <v>112</v>
      </c>
      <c r="C1" s="55" t="s">
        <v>113</v>
      </c>
      <c r="D1" s="222" t="s">
        <v>114</v>
      </c>
      <c r="E1" s="222"/>
      <c r="F1" s="222"/>
      <c r="G1" s="63" t="s">
        <v>115</v>
      </c>
      <c r="H1" s="265" t="s">
        <v>116</v>
      </c>
      <c r="I1" s="266"/>
      <c r="J1" s="267"/>
      <c r="K1" s="222" t="s">
        <v>117</v>
      </c>
      <c r="L1" s="222"/>
      <c r="M1" s="222"/>
      <c r="N1" s="222"/>
      <c r="O1" s="61"/>
      <c r="P1" s="61"/>
      <c r="R1" s="61"/>
      <c r="S1" s="61"/>
    </row>
    <row r="2" spans="1:19" ht="16" x14ac:dyDescent="0.2">
      <c r="A2" s="256"/>
      <c r="B2" s="254" t="s">
        <v>168</v>
      </c>
      <c r="C2" s="257" t="s">
        <v>118</v>
      </c>
      <c r="D2" s="56" t="s">
        <v>119</v>
      </c>
      <c r="E2" s="57" t="s">
        <v>120</v>
      </c>
      <c r="F2" s="57" t="s">
        <v>121</v>
      </c>
      <c r="G2" s="59" t="s">
        <v>39</v>
      </c>
      <c r="H2" s="262" t="s">
        <v>122</v>
      </c>
      <c r="I2" s="263"/>
      <c r="J2" s="264"/>
      <c r="K2" s="59" t="s">
        <v>123</v>
      </c>
      <c r="L2" s="58" t="s">
        <v>124</v>
      </c>
      <c r="M2" s="58" t="s">
        <v>34</v>
      </c>
      <c r="N2" s="59" t="s">
        <v>125</v>
      </c>
      <c r="O2" s="61"/>
      <c r="P2" s="260" t="s">
        <v>126</v>
      </c>
      <c r="Q2" s="260"/>
      <c r="R2" s="260"/>
      <c r="S2" s="40"/>
    </row>
    <row r="3" spans="1:19" ht="19" thickBot="1" x14ac:dyDescent="0.25">
      <c r="A3" s="75" t="s">
        <v>127</v>
      </c>
      <c r="B3" s="255"/>
      <c r="C3" s="258"/>
      <c r="D3" s="259" t="s">
        <v>77</v>
      </c>
      <c r="E3" s="259"/>
      <c r="F3" s="259"/>
      <c r="G3" s="76" t="s">
        <v>89</v>
      </c>
      <c r="H3" s="77" t="s">
        <v>128</v>
      </c>
      <c r="I3" s="77" t="s">
        <v>169</v>
      </c>
      <c r="J3" s="77" t="s">
        <v>85</v>
      </c>
      <c r="K3" s="261" t="s">
        <v>85</v>
      </c>
      <c r="L3" s="261"/>
      <c r="M3" s="76" t="s">
        <v>129</v>
      </c>
      <c r="N3" s="67" t="s">
        <v>85</v>
      </c>
      <c r="O3" s="61"/>
      <c r="P3" s="81"/>
      <c r="Q3" s="82" t="s">
        <v>5</v>
      </c>
      <c r="R3" s="82" t="s">
        <v>130</v>
      </c>
      <c r="S3" s="40"/>
    </row>
    <row r="4" spans="1:19" ht="21" customHeight="1" thickBot="1" x14ac:dyDescent="0.25">
      <c r="A4" s="69" t="s">
        <v>131</v>
      </c>
      <c r="B4" s="92">
        <f>17632*1000^2</f>
        <v>17632000000</v>
      </c>
      <c r="C4" s="70">
        <f>(B4/1000^2)/109965</f>
        <v>0.16034192697676533</v>
      </c>
      <c r="D4" s="78">
        <f>SUM(D5:D10)</f>
        <v>72780359.624184012</v>
      </c>
      <c r="E4" s="71">
        <f>SUM(E5:E10)</f>
        <v>1514480.2470000004</v>
      </c>
      <c r="F4" s="79">
        <f>SUM(D4:E4)</f>
        <v>74294839.871184006</v>
      </c>
      <c r="G4" s="73">
        <f>1085*1000000</f>
        <v>1085000000</v>
      </c>
      <c r="H4" s="71">
        <f>SUM(H5:H10)</f>
        <v>1271.0952542999999</v>
      </c>
      <c r="I4" s="71">
        <f>SUM(I5:I10)</f>
        <v>1.2710952543</v>
      </c>
      <c r="J4" s="90">
        <f>I4*B4</f>
        <v>22411951523.8176</v>
      </c>
      <c r="K4" s="70">
        <f>2041*C4*1000</f>
        <v>327257.87295957806</v>
      </c>
      <c r="L4" s="70">
        <f>790*C4*1000</f>
        <v>126670.12231164461</v>
      </c>
      <c r="M4" s="73">
        <f>L4*0.426*0.4</f>
        <v>21584.588841904242</v>
      </c>
      <c r="N4" s="74">
        <f>0*C4</f>
        <v>0</v>
      </c>
      <c r="O4" s="40"/>
      <c r="P4" s="80" t="s">
        <v>44</v>
      </c>
      <c r="Q4" s="80">
        <v>0.75</v>
      </c>
      <c r="R4" s="80">
        <v>0.2</v>
      </c>
      <c r="S4" s="40"/>
    </row>
    <row r="5" spans="1:19" ht="21" customHeight="1" x14ac:dyDescent="0.2">
      <c r="A5" s="68" t="s">
        <v>132</v>
      </c>
      <c r="B5" s="244"/>
      <c r="C5" s="245"/>
      <c r="D5" s="68">
        <f>8957528*43*0.068*0.453</f>
        <v>11864890.778016001</v>
      </c>
      <c r="E5" s="68">
        <f>(180.39+79.1)*0.81*700</f>
        <v>147130.83000000002</v>
      </c>
      <c r="F5" s="250"/>
      <c r="G5" s="244"/>
      <c r="H5" s="68">
        <v>204.13229129999999</v>
      </c>
      <c r="I5" s="68">
        <f t="shared" ref="I5:I10" si="0">H5/1000</f>
        <v>0.20413229129999999</v>
      </c>
      <c r="J5" s="268"/>
      <c r="K5" s="271"/>
      <c r="L5" s="271"/>
      <c r="M5" s="271"/>
      <c r="N5" s="271"/>
      <c r="O5" s="40"/>
      <c r="P5" s="80" t="s">
        <v>133</v>
      </c>
      <c r="Q5" s="80">
        <v>0.5</v>
      </c>
      <c r="R5" s="80">
        <v>0.75</v>
      </c>
      <c r="S5" s="40"/>
    </row>
    <row r="6" spans="1:19" x14ac:dyDescent="0.2">
      <c r="A6" s="60" t="s">
        <v>134</v>
      </c>
      <c r="B6" s="245"/>
      <c r="C6" s="245"/>
      <c r="D6" s="60">
        <f>9343533*43*0.068*0.453</f>
        <v>12376182.192876002</v>
      </c>
      <c r="E6" s="60">
        <f>(128.16+1345.93)*0.81*700</f>
        <v>835809.03000000014</v>
      </c>
      <c r="F6" s="251"/>
      <c r="G6" s="245"/>
      <c r="H6" s="60">
        <v>204.6006343</v>
      </c>
      <c r="I6" s="60">
        <f t="shared" si="0"/>
        <v>0.2046006343</v>
      </c>
      <c r="J6" s="269"/>
      <c r="K6" s="248"/>
      <c r="L6" s="248"/>
      <c r="M6" s="248"/>
      <c r="N6" s="248"/>
      <c r="O6" s="40"/>
      <c r="P6" s="80" t="s">
        <v>135</v>
      </c>
      <c r="Q6" s="80">
        <v>1</v>
      </c>
      <c r="R6" s="80">
        <v>0.67</v>
      </c>
      <c r="S6" s="40"/>
    </row>
    <row r="7" spans="1:19" x14ac:dyDescent="0.2">
      <c r="A7" s="60" t="s">
        <v>136</v>
      </c>
      <c r="B7" s="245"/>
      <c r="C7" s="245"/>
      <c r="D7" s="60">
        <f>14900737*43*0.068*0.453</f>
        <v>19737099.009564005</v>
      </c>
      <c r="E7" s="60">
        <f>(241.26+384.51)*0.81*700</f>
        <v>354811.59</v>
      </c>
      <c r="F7" s="251"/>
      <c r="G7" s="245"/>
      <c r="H7" s="60">
        <v>215.65058329999999</v>
      </c>
      <c r="I7" s="60">
        <f t="shared" si="0"/>
        <v>0.2156505833</v>
      </c>
      <c r="J7" s="269"/>
      <c r="K7" s="248"/>
      <c r="L7" s="248"/>
      <c r="M7" s="248"/>
      <c r="N7" s="248"/>
      <c r="O7" s="40"/>
      <c r="P7" s="40"/>
      <c r="Q7" s="40"/>
      <c r="R7" s="61"/>
      <c r="S7" s="40"/>
    </row>
    <row r="8" spans="1:19" x14ac:dyDescent="0.2">
      <c r="A8" s="60" t="s">
        <v>137</v>
      </c>
      <c r="B8" s="245"/>
      <c r="C8" s="245"/>
      <c r="D8" s="60">
        <f>1631058*43*0.068*0.453</f>
        <v>2160453.7571760002</v>
      </c>
      <c r="E8" s="60">
        <f>(28.031)*0.81*700</f>
        <v>15893.577000000001</v>
      </c>
      <c r="F8" s="251"/>
      <c r="G8" s="245"/>
      <c r="H8" s="60">
        <v>211.3696908</v>
      </c>
      <c r="I8" s="60">
        <f t="shared" si="0"/>
        <v>0.21136969080000001</v>
      </c>
      <c r="J8" s="269"/>
      <c r="K8" s="248"/>
      <c r="L8" s="248"/>
      <c r="M8" s="248"/>
      <c r="N8" s="248"/>
      <c r="O8" s="40"/>
      <c r="P8" s="276" t="s">
        <v>153</v>
      </c>
      <c r="Q8" s="276"/>
      <c r="R8" s="276"/>
      <c r="S8" s="40"/>
    </row>
    <row r="9" spans="1:19" x14ac:dyDescent="0.2">
      <c r="A9" s="60" t="s">
        <v>138</v>
      </c>
      <c r="B9" s="245"/>
      <c r="C9" s="245"/>
      <c r="D9" s="60">
        <f>8957528*43*0.068*0.453</f>
        <v>11864890.778016001</v>
      </c>
      <c r="E9" s="60">
        <f>(1.77+7.5)*0.81*700</f>
        <v>5256.09</v>
      </c>
      <c r="F9" s="251"/>
      <c r="G9" s="245"/>
      <c r="H9" s="60">
        <v>220.64684560000001</v>
      </c>
      <c r="I9" s="60">
        <f t="shared" si="0"/>
        <v>0.2206468456</v>
      </c>
      <c r="J9" s="269"/>
      <c r="K9" s="248"/>
      <c r="L9" s="248"/>
      <c r="M9" s="248"/>
      <c r="N9" s="248"/>
      <c r="O9" s="40"/>
      <c r="P9" s="80" t="s">
        <v>154</v>
      </c>
      <c r="Q9" s="139">
        <v>8712</v>
      </c>
      <c r="R9" s="277">
        <f>Q9/Q10</f>
        <v>1.4323846853875224E-3</v>
      </c>
      <c r="S9" s="40"/>
    </row>
    <row r="10" spans="1:19" ht="16" thickBot="1" x14ac:dyDescent="0.25">
      <c r="A10" s="66" t="s">
        <v>139</v>
      </c>
      <c r="B10" s="247"/>
      <c r="C10" s="245"/>
      <c r="D10" s="66">
        <f>11155938*43*0.068*0.453</f>
        <v>14776843.108536001</v>
      </c>
      <c r="E10" s="66">
        <f>(180.77+93.62)*0.81*700</f>
        <v>155579.13</v>
      </c>
      <c r="F10" s="252"/>
      <c r="G10" s="247"/>
      <c r="H10" s="66">
        <v>214.69520900000001</v>
      </c>
      <c r="I10" s="66">
        <f t="shared" si="0"/>
        <v>0.214695209</v>
      </c>
      <c r="J10" s="270"/>
      <c r="K10" s="272"/>
      <c r="L10" s="272"/>
      <c r="M10" s="272"/>
      <c r="N10" s="272"/>
      <c r="O10" s="40"/>
      <c r="P10" s="80" t="s">
        <v>155</v>
      </c>
      <c r="Q10" s="139">
        <v>6082165</v>
      </c>
      <c r="R10" s="278"/>
      <c r="S10" s="40"/>
    </row>
    <row r="11" spans="1:19" ht="16" thickBot="1" x14ac:dyDescent="0.25">
      <c r="A11" s="69" t="s">
        <v>140</v>
      </c>
      <c r="B11" s="92">
        <f>12535.79*1000^2</f>
        <v>12535790000</v>
      </c>
      <c r="C11" s="70">
        <f>(B11/1000^2)/97530</f>
        <v>0.12853265661847638</v>
      </c>
      <c r="D11" s="71">
        <f>SUM(D12:D16)</f>
        <v>28189141.283256002</v>
      </c>
      <c r="E11" s="71">
        <f>SUM(E12:E16)</f>
        <v>4189903200</v>
      </c>
      <c r="F11" s="72">
        <f>SUM(D11:E11)</f>
        <v>4218092341.2832561</v>
      </c>
      <c r="G11" s="73">
        <f>1758*1000000</f>
        <v>1758000000</v>
      </c>
      <c r="H11" s="71">
        <f>SUM(H12:H16)</f>
        <v>1114.3623287</v>
      </c>
      <c r="I11" s="71">
        <f>SUM(I12:I16)</f>
        <v>1.1143623287</v>
      </c>
      <c r="J11" s="90">
        <f>B11*I11</f>
        <v>13969412136.494173</v>
      </c>
      <c r="K11" s="70">
        <f>6855*C4*1000</f>
        <v>1099143.9094257264</v>
      </c>
      <c r="L11" s="70">
        <f>1745*C4*1000</f>
        <v>279796.66257445555</v>
      </c>
      <c r="M11" s="73">
        <f>L11*0.426*0.4</f>
        <v>47677.351302687224</v>
      </c>
      <c r="N11" s="74">
        <f>3286*C4*1000</f>
        <v>526883.57204565092</v>
      </c>
      <c r="O11" s="40"/>
      <c r="P11" s="80" t="s">
        <v>156</v>
      </c>
      <c r="Q11" s="139">
        <v>5683</v>
      </c>
      <c r="R11" s="277">
        <f>Q11/Q12</f>
        <v>1.3860975609756097E-3</v>
      </c>
      <c r="S11" s="40"/>
    </row>
    <row r="12" spans="1:19" x14ac:dyDescent="0.2">
      <c r="A12" s="68" t="s">
        <v>141</v>
      </c>
      <c r="B12" s="244"/>
      <c r="C12" s="248"/>
      <c r="D12" s="68">
        <f>7343196*43*0.068*0.453</f>
        <v>9726591.8121120017</v>
      </c>
      <c r="E12" s="68">
        <f>(11442+1003)*30*0.81*700</f>
        <v>211689450</v>
      </c>
      <c r="F12" s="250"/>
      <c r="G12" s="244"/>
      <c r="H12" s="68">
        <v>220.98776760000001</v>
      </c>
      <c r="I12" s="68">
        <f>H12/1000</f>
        <v>0.22098776760000002</v>
      </c>
      <c r="J12" s="244"/>
      <c r="K12" s="244"/>
      <c r="L12" s="244"/>
      <c r="M12" s="244"/>
      <c r="N12" s="244"/>
      <c r="O12" s="40"/>
      <c r="P12" s="80" t="s">
        <v>140</v>
      </c>
      <c r="Q12" s="139">
        <v>4100000</v>
      </c>
      <c r="R12" s="278"/>
      <c r="S12" s="40"/>
    </row>
    <row r="13" spans="1:19" x14ac:dyDescent="0.2">
      <c r="A13" s="60" t="s">
        <v>142</v>
      </c>
      <c r="B13" s="245"/>
      <c r="C13" s="248"/>
      <c r="D13" s="60">
        <f>1358723*43*0.068*0.453</f>
        <v>1799726.4415560002</v>
      </c>
      <c r="E13" s="60">
        <f>(32142)*30*0.81*700</f>
        <v>546735420.00000012</v>
      </c>
      <c r="F13" s="251"/>
      <c r="G13" s="245"/>
      <c r="H13" s="60">
        <v>219.9071242</v>
      </c>
      <c r="I13" s="60">
        <f>H13/1000</f>
        <v>0.2199071242</v>
      </c>
      <c r="J13" s="245"/>
      <c r="K13" s="245"/>
      <c r="L13" s="245"/>
      <c r="M13" s="245"/>
      <c r="N13" s="245"/>
      <c r="O13" s="40"/>
      <c r="P13" s="40"/>
      <c r="Q13" s="40"/>
      <c r="R13" s="61"/>
      <c r="S13" s="40"/>
    </row>
    <row r="14" spans="1:19" x14ac:dyDescent="0.2">
      <c r="A14" s="60" t="s">
        <v>143</v>
      </c>
      <c r="B14" s="245"/>
      <c r="C14" s="248"/>
      <c r="D14" s="60">
        <f>3723396*43*0.068*0.453</f>
        <v>4931906.0865120003</v>
      </c>
      <c r="E14" s="60">
        <f>(80245+69442)*30*0.81*700</f>
        <v>2546175870</v>
      </c>
      <c r="F14" s="251"/>
      <c r="G14" s="245"/>
      <c r="H14" s="60">
        <v>241.00622949999999</v>
      </c>
      <c r="I14" s="60">
        <f>H14/1000</f>
        <v>0.2410062295</v>
      </c>
      <c r="J14" s="245"/>
      <c r="K14" s="245"/>
      <c r="L14" s="245"/>
      <c r="M14" s="245"/>
      <c r="N14" s="245"/>
      <c r="O14" s="40"/>
      <c r="P14" s="40"/>
      <c r="Q14" s="40"/>
      <c r="R14" s="61"/>
      <c r="S14" s="40"/>
    </row>
    <row r="15" spans="1:19" x14ac:dyDescent="0.2">
      <c r="A15" s="60" t="s">
        <v>144</v>
      </c>
      <c r="B15" s="245"/>
      <c r="C15" s="248"/>
      <c r="D15" s="60">
        <f>4425462*43*0.068*0.453</f>
        <v>5861843.0522640003</v>
      </c>
      <c r="E15" s="60">
        <f>(8202+43087)*30*0.81*700</f>
        <v>872425890.00000012</v>
      </c>
      <c r="F15" s="251"/>
      <c r="G15" s="245"/>
      <c r="H15" s="60">
        <v>225.71151889999999</v>
      </c>
      <c r="I15" s="60">
        <f>H15/1000</f>
        <v>0.22571151889999999</v>
      </c>
      <c r="J15" s="245"/>
      <c r="K15" s="245"/>
      <c r="L15" s="245"/>
      <c r="M15" s="245"/>
      <c r="N15" s="245"/>
      <c r="O15" s="40"/>
      <c r="P15" s="40"/>
      <c r="Q15" s="40"/>
      <c r="R15" s="61"/>
      <c r="S15" s="40"/>
    </row>
    <row r="16" spans="1:19" x14ac:dyDescent="0.2">
      <c r="A16" s="60" t="s">
        <v>145</v>
      </c>
      <c r="B16" s="246"/>
      <c r="C16" s="249"/>
      <c r="D16" s="60">
        <f>4430921*43*0.068*0.453</f>
        <v>5869073.8908120003</v>
      </c>
      <c r="E16" s="60">
        <f>(757)*30*0.81*700</f>
        <v>12876570.000000002</v>
      </c>
      <c r="F16" s="253"/>
      <c r="G16" s="246"/>
      <c r="H16" s="60">
        <v>206.74968849999999</v>
      </c>
      <c r="I16" s="60">
        <f>H16/1000</f>
        <v>0.2067496885</v>
      </c>
      <c r="J16" s="246"/>
      <c r="K16" s="246"/>
      <c r="L16" s="246"/>
      <c r="M16" s="246"/>
      <c r="N16" s="246"/>
      <c r="O16" s="40"/>
      <c r="P16" s="40"/>
      <c r="Q16" s="40"/>
      <c r="R16" s="61"/>
      <c r="S16" s="40"/>
    </row>
    <row r="17" spans="1:19" s="40" customFormat="1" x14ac:dyDescent="0.2">
      <c r="Q17" s="61"/>
    </row>
    <row r="18" spans="1:19" s="40" customFormat="1" x14ac:dyDescent="0.2">
      <c r="Q18" s="61"/>
    </row>
    <row r="19" spans="1:19" s="40" customFormat="1" x14ac:dyDescent="0.2">
      <c r="Q19" s="61"/>
    </row>
    <row r="20" spans="1:19" s="40" customFormat="1" x14ac:dyDescent="0.2">
      <c r="G20" s="196" t="s">
        <v>1</v>
      </c>
      <c r="H20" s="196"/>
      <c r="I20" s="196"/>
      <c r="J20" s="196"/>
      <c r="Q20" s="61"/>
    </row>
    <row r="21" spans="1:19" s="40" customFormat="1" x14ac:dyDescent="0.2">
      <c r="G21" s="198" t="s">
        <v>146</v>
      </c>
      <c r="H21" s="198"/>
      <c r="I21" s="198"/>
      <c r="J21" s="198"/>
      <c r="Q21" s="61"/>
    </row>
    <row r="22" spans="1:19" s="40" customFormat="1" x14ac:dyDescent="0.2">
      <c r="G22" s="196" t="s">
        <v>1</v>
      </c>
      <c r="H22" s="196"/>
      <c r="I22" s="196"/>
      <c r="J22" s="196"/>
      <c r="Q22" s="61"/>
    </row>
    <row r="23" spans="1:19" x14ac:dyDescent="0.2">
      <c r="A23" s="40"/>
      <c r="B23" s="40"/>
      <c r="C23" s="273" t="s">
        <v>147</v>
      </c>
      <c r="D23" s="273"/>
      <c r="E23" s="273"/>
      <c r="F23" s="273"/>
      <c r="G23" s="273"/>
      <c r="H23" s="40"/>
      <c r="I23" s="40"/>
      <c r="J23" s="40"/>
      <c r="K23" s="40"/>
      <c r="L23" s="40"/>
      <c r="M23" s="40"/>
      <c r="N23" s="40"/>
      <c r="O23" s="40"/>
      <c r="P23" s="40"/>
      <c r="R23" s="40"/>
      <c r="S23" s="40"/>
    </row>
    <row r="24" spans="1:19" ht="16" x14ac:dyDescent="0.2">
      <c r="A24" s="54"/>
      <c r="B24" s="54"/>
      <c r="C24" s="62" t="s">
        <v>148</v>
      </c>
      <c r="D24" s="62" t="s">
        <v>32</v>
      </c>
      <c r="E24" s="62" t="s">
        <v>133</v>
      </c>
      <c r="F24" s="62" t="s">
        <v>44</v>
      </c>
      <c r="G24" s="62" t="s">
        <v>34</v>
      </c>
      <c r="H24" s="54"/>
      <c r="I24" s="54"/>
      <c r="J24" s="54"/>
      <c r="K24" s="40"/>
      <c r="L24" s="40"/>
      <c r="M24" s="40"/>
      <c r="N24" s="40"/>
      <c r="O24" s="40"/>
      <c r="P24" s="40"/>
      <c r="R24" s="40"/>
      <c r="S24" s="40"/>
    </row>
    <row r="25" spans="1:19" ht="16" x14ac:dyDescent="0.2">
      <c r="A25" s="54"/>
      <c r="B25" s="54"/>
      <c r="C25" s="33" t="s">
        <v>149</v>
      </c>
      <c r="D25" s="274">
        <f>IF(ISNUMBER(SEARCH("Bicol",Home!D11)),F4,F11)*0.5</f>
        <v>2109046170.641628</v>
      </c>
      <c r="E25" s="274">
        <f>IF(ISNUMBER(SEARCH("Bicol",Home!D11)),G4,G11)*0.5</f>
        <v>879000000</v>
      </c>
      <c r="F25" s="274">
        <f>IF(ISNUMBER(SEARCH("Bicol",Home!D11)),J4,J11)*0.5</f>
        <v>6984706068.2470865</v>
      </c>
      <c r="G25" s="274">
        <f>IF(ISNUMBER(SEARCH("Bicol",Home!D11)),M4,M11)*0.5</f>
        <v>23838.675651343612</v>
      </c>
      <c r="H25" s="54"/>
      <c r="I25" s="273" t="s">
        <v>150</v>
      </c>
      <c r="J25" s="273"/>
      <c r="K25" s="273"/>
      <c r="L25" s="273"/>
      <c r="M25" s="40"/>
      <c r="N25" s="40"/>
      <c r="O25" s="40"/>
      <c r="P25" s="40"/>
      <c r="R25" s="40"/>
      <c r="S25" s="40"/>
    </row>
    <row r="26" spans="1:19" ht="48" x14ac:dyDescent="0.2">
      <c r="A26" s="40"/>
      <c r="B26" s="40"/>
      <c r="C26" s="33" t="s">
        <v>4</v>
      </c>
      <c r="D26" s="275"/>
      <c r="E26" s="275"/>
      <c r="F26" s="275"/>
      <c r="G26" s="275"/>
      <c r="H26" s="40"/>
      <c r="I26" s="62" t="s">
        <v>32</v>
      </c>
      <c r="J26" s="62" t="s">
        <v>133</v>
      </c>
      <c r="K26" s="62" t="s">
        <v>44</v>
      </c>
      <c r="L26" s="62" t="s">
        <v>34</v>
      </c>
      <c r="M26" s="40"/>
      <c r="N26" s="40"/>
      <c r="O26" s="40"/>
      <c r="P26" s="40"/>
      <c r="R26" s="40"/>
      <c r="S26" s="40"/>
    </row>
    <row r="27" spans="1:19" x14ac:dyDescent="0.2">
      <c r="A27" s="40"/>
      <c r="B27" s="40"/>
      <c r="C27" s="40"/>
      <c r="D27" s="40"/>
      <c r="E27" s="40"/>
      <c r="F27" s="40"/>
      <c r="G27" s="40"/>
      <c r="H27" s="40"/>
      <c r="I27" s="279">
        <f>D25*D31*IF(ISNUMBER(SEARCH("Bicol",Home!D11)),R9,R11)</f>
        <v>1958640.3145845782</v>
      </c>
      <c r="J27" s="279">
        <f>E25*E31*IF(ISNUMBER(SEARCH("Bicol",Home!D11)),R9,R11)</f>
        <v>913784.81707317068</v>
      </c>
      <c r="K27" s="279">
        <f>F25*F31*IF(ISNUMBER(SEARCH("Bicol",Home!D11)),R9,R11)</f>
        <v>1936296.8090657655</v>
      </c>
      <c r="L27" s="279">
        <f>G25*G31</f>
        <v>23838.675651343612</v>
      </c>
      <c r="M27" s="40"/>
      <c r="N27" s="40"/>
      <c r="O27" s="40"/>
      <c r="P27" s="40"/>
      <c r="R27" s="40"/>
      <c r="S27" s="40"/>
    </row>
    <row r="28" spans="1:19" x14ac:dyDescent="0.2">
      <c r="A28" s="40"/>
      <c r="B28" s="40"/>
      <c r="C28" s="40"/>
      <c r="D28" s="40"/>
      <c r="E28" s="40"/>
      <c r="F28" s="40"/>
      <c r="G28" s="40"/>
      <c r="H28" s="40"/>
      <c r="I28" s="280"/>
      <c r="J28" s="280"/>
      <c r="K28" s="280"/>
      <c r="L28" s="280"/>
      <c r="M28" s="40"/>
      <c r="N28" s="40"/>
      <c r="O28" s="40"/>
      <c r="P28" s="40"/>
      <c r="R28" s="40"/>
      <c r="S28" s="40"/>
    </row>
    <row r="29" spans="1:19" x14ac:dyDescent="0.2">
      <c r="A29" s="40"/>
      <c r="B29" s="40"/>
      <c r="C29" s="273" t="s">
        <v>151</v>
      </c>
      <c r="D29" s="273"/>
      <c r="E29" s="273"/>
      <c r="F29" s="273"/>
      <c r="G29" s="273"/>
      <c r="H29" s="40"/>
      <c r="I29" s="40"/>
      <c r="J29" s="40"/>
      <c r="K29" s="40"/>
      <c r="L29" s="40"/>
      <c r="M29" s="40"/>
      <c r="N29" s="40"/>
      <c r="O29" s="40"/>
      <c r="P29" s="40"/>
      <c r="R29" s="40"/>
      <c r="S29" s="40"/>
    </row>
    <row r="30" spans="1:19" ht="16" x14ac:dyDescent="0.2">
      <c r="A30" s="40"/>
      <c r="B30" s="40"/>
      <c r="C30" s="62" t="s">
        <v>152</v>
      </c>
      <c r="D30" s="62" t="s">
        <v>32</v>
      </c>
      <c r="E30" s="62" t="s">
        <v>133</v>
      </c>
      <c r="F30" s="62" t="s">
        <v>44</v>
      </c>
      <c r="G30" s="62" t="s">
        <v>34</v>
      </c>
      <c r="H30" s="40"/>
      <c r="I30" s="40"/>
      <c r="J30" s="40"/>
      <c r="K30" s="40"/>
      <c r="L30" s="40"/>
      <c r="M30" s="40"/>
      <c r="N30" s="40"/>
      <c r="O30" s="40"/>
      <c r="P30" s="40"/>
      <c r="R30" s="40"/>
      <c r="S30" s="40"/>
    </row>
    <row r="31" spans="1:19" ht="16" x14ac:dyDescent="0.2">
      <c r="A31" s="40"/>
      <c r="B31" s="40"/>
      <c r="C31" s="33" t="s">
        <v>5</v>
      </c>
      <c r="D31" s="274">
        <f>IF(ISNUMBER(SEARCH("Dry",Home!I11)),Q6,R6)</f>
        <v>0.67</v>
      </c>
      <c r="E31" s="274">
        <f>IF(ISNUMBER(SEARCH("Dry",Home!I11)),Q5,R5)</f>
        <v>0.75</v>
      </c>
      <c r="F31" s="274">
        <f>IF(ISNUMBER(SEARCH("Dry",Home!I11)),Q4,R4)</f>
        <v>0.2</v>
      </c>
      <c r="G31" s="274">
        <v>1</v>
      </c>
      <c r="H31" s="40"/>
      <c r="I31" s="40"/>
      <c r="J31" s="40"/>
      <c r="K31" s="40"/>
      <c r="L31" s="40"/>
      <c r="M31" s="40"/>
      <c r="N31" s="40"/>
      <c r="O31" s="40"/>
      <c r="P31" s="40"/>
      <c r="R31" s="40"/>
      <c r="S31" s="40"/>
    </row>
    <row r="32" spans="1:19" ht="16" x14ac:dyDescent="0.2">
      <c r="A32" s="40"/>
      <c r="B32" s="40"/>
      <c r="C32" s="33" t="s">
        <v>130</v>
      </c>
      <c r="D32" s="275"/>
      <c r="E32" s="275"/>
      <c r="F32" s="275"/>
      <c r="G32" s="275"/>
      <c r="H32" s="40"/>
      <c r="I32" s="40"/>
      <c r="J32" s="40"/>
      <c r="K32" s="40"/>
      <c r="L32" s="40"/>
      <c r="M32" s="40"/>
      <c r="N32" s="40"/>
      <c r="O32" s="40"/>
      <c r="P32" s="40"/>
      <c r="R32" s="40"/>
      <c r="S32" s="40"/>
    </row>
    <row r="33" spans="1:19" x14ac:dyDescent="0.2">
      <c r="A33" s="40"/>
      <c r="B33" s="40"/>
      <c r="C33" s="40"/>
      <c r="D33" s="40"/>
      <c r="E33" s="40"/>
      <c r="F33" s="40"/>
      <c r="G33" s="40"/>
      <c r="H33" s="40"/>
      <c r="I33" s="40"/>
      <c r="J33" s="40"/>
      <c r="K33" s="40"/>
      <c r="L33" s="40"/>
      <c r="M33" s="40"/>
      <c r="N33" s="40"/>
      <c r="O33" s="40"/>
      <c r="P33" s="40"/>
      <c r="R33" s="40"/>
      <c r="S33" s="40"/>
    </row>
  </sheetData>
  <mergeCells count="49">
    <mergeCell ref="P8:R8"/>
    <mergeCell ref="R9:R10"/>
    <mergeCell ref="R11:R12"/>
    <mergeCell ref="I25:L25"/>
    <mergeCell ref="I27:I28"/>
    <mergeCell ref="K27:K28"/>
    <mergeCell ref="J27:J28"/>
    <mergeCell ref="L27:L28"/>
    <mergeCell ref="M12:M16"/>
    <mergeCell ref="C29:G29"/>
    <mergeCell ref="D31:D32"/>
    <mergeCell ref="E31:E32"/>
    <mergeCell ref="F31:F32"/>
    <mergeCell ref="G31:G32"/>
    <mergeCell ref="C23:G23"/>
    <mergeCell ref="D25:D26"/>
    <mergeCell ref="F25:F26"/>
    <mergeCell ref="G25:G26"/>
    <mergeCell ref="E25:E26"/>
    <mergeCell ref="P2:R2"/>
    <mergeCell ref="K1:N1"/>
    <mergeCell ref="K3:L3"/>
    <mergeCell ref="G22:J22"/>
    <mergeCell ref="G21:J21"/>
    <mergeCell ref="G20:J20"/>
    <mergeCell ref="G5:G10"/>
    <mergeCell ref="G12:G16"/>
    <mergeCell ref="H2:J2"/>
    <mergeCell ref="H1:J1"/>
    <mergeCell ref="J5:J10"/>
    <mergeCell ref="K5:K10"/>
    <mergeCell ref="L5:L10"/>
    <mergeCell ref="M5:M10"/>
    <mergeCell ref="N5:N10"/>
    <mergeCell ref="N12:N16"/>
    <mergeCell ref="B2:B3"/>
    <mergeCell ref="A1:A2"/>
    <mergeCell ref="D1:F1"/>
    <mergeCell ref="C2:C3"/>
    <mergeCell ref="D3:F3"/>
    <mergeCell ref="B12:B16"/>
    <mergeCell ref="B5:B10"/>
    <mergeCell ref="J12:J16"/>
    <mergeCell ref="K12:K16"/>
    <mergeCell ref="L12:L16"/>
    <mergeCell ref="C12:C16"/>
    <mergeCell ref="F5:F10"/>
    <mergeCell ref="F12:F16"/>
    <mergeCell ref="C5:C10"/>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ccac6a9-ea5a-48f9-8015-b0439dd882d6" xsi:nil="true"/>
    <lcf76f155ced4ddcb4097134ff3c332f xmlns="b774fda2-79b5-4bdb-a4db-08d8be32ec19">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0FA0516D74321418C5C9B3C95ACF539" ma:contentTypeVersion="15" ma:contentTypeDescription="Create a new document." ma:contentTypeScope="" ma:versionID="7b3d3b8f8278282fe0fc684cf6e5bd0a">
  <xsd:schema xmlns:xsd="http://www.w3.org/2001/XMLSchema" xmlns:xs="http://www.w3.org/2001/XMLSchema" xmlns:p="http://schemas.microsoft.com/office/2006/metadata/properties" xmlns:ns2="b774fda2-79b5-4bdb-a4db-08d8be32ec19" xmlns:ns3="bccac6a9-ea5a-48f9-8015-b0439dd882d6" targetNamespace="http://schemas.microsoft.com/office/2006/metadata/properties" ma:root="true" ma:fieldsID="c59b6cc6d128d454350bfee5d2dbbde0" ns2:_="" ns3:_="">
    <xsd:import namespace="b774fda2-79b5-4bdb-a4db-08d8be32ec19"/>
    <xsd:import namespace="bccac6a9-ea5a-48f9-8015-b0439dd882d6"/>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3:SharedWithUsers" minOccurs="0"/>
                <xsd:element ref="ns3:SharedWithDetail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74fda2-79b5-4bdb-a4db-08d8be32ec1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2117685f-1dcd-4610-9ff9-a99fab41234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ccac6a9-ea5a-48f9-8015-b0439dd882d6"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f5eede01-273c-43f5-9f26-ddfa27870968}" ma:internalName="TaxCatchAll" ma:showField="CatchAllData" ma:web="bccac6a9-ea5a-48f9-8015-b0439dd882d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BE454C-69F3-44FC-B426-44FB430430D7}">
  <ds:schemaRefs>
    <ds:schemaRef ds:uri="http://schemas.microsoft.com/office/2006/metadata/properties"/>
    <ds:schemaRef ds:uri="http://schemas.microsoft.com/office/infopath/2007/PartnerControls"/>
    <ds:schemaRef ds:uri="bccac6a9-ea5a-48f9-8015-b0439dd882d6"/>
    <ds:schemaRef ds:uri="b774fda2-79b5-4bdb-a4db-08d8be32ec19"/>
  </ds:schemaRefs>
</ds:datastoreItem>
</file>

<file path=customXml/itemProps2.xml><?xml version="1.0" encoding="utf-8"?>
<ds:datastoreItem xmlns:ds="http://schemas.openxmlformats.org/officeDocument/2006/customXml" ds:itemID="{4CD5011C-036A-46B9-9E65-6ECB0C914F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774fda2-79b5-4bdb-a4db-08d8be32ec19"/>
    <ds:schemaRef ds:uri="bccac6a9-ea5a-48f9-8015-b0439dd882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54D34EC-E2FA-4A8D-A7CB-077B12E6B72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Home</vt:lpstr>
      <vt:lpstr>Simulator</vt:lpstr>
      <vt:lpstr>Energy Availability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Rembrandt James</dc:creator>
  <cp:keywords/>
  <dc:description/>
  <cp:lastModifiedBy>Amanda Louise S. Nunag</cp:lastModifiedBy>
  <cp:revision/>
  <dcterms:created xsi:type="dcterms:W3CDTF">2021-04-05T02:21:14Z</dcterms:created>
  <dcterms:modified xsi:type="dcterms:W3CDTF">2022-06-23T20:15:26Z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0x010100C0FA0516D74321418C5C9B3C95ACF539</vt:lpwstr>
  </property>
  <property fmtid="{D5CDD505-2E9C-101B-9397-08002B2CF9AE}" pid="3" name="MediaServiceImageTags">
    <vt:lpwstr/>
  </property>
</Properties>
</file>